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fileSharing readOnlyRecommended="1"/>
  <workbookPr defaultThemeVersion="202300"/>
  <mc:AlternateContent xmlns:mc="http://schemas.openxmlformats.org/markup-compatibility/2006">
    <mc:Choice Requires="x15">
      <x15ac:absPath xmlns:x15ac="http://schemas.microsoft.com/office/spreadsheetml/2010/11/ac" url="https://alexuuni-my.sharepoint.com/personal/cds_rowidamahrous250542_alexu_edu_eg/Documents/Documents/"/>
    </mc:Choice>
  </mc:AlternateContent>
  <xr:revisionPtr revIDLastSave="39" documentId="8_{8DDD91DE-B2F4-494D-B310-6E9EBE8A0E50}" xr6:coauthVersionLast="47" xr6:coauthVersionMax="47" xr10:uidLastSave="{8062E4EB-FC5E-4403-987E-A7440C5763CF}"/>
  <bookViews>
    <workbookView xWindow="-110" yWindow="-110" windowWidth="19420" windowHeight="10420" activeTab="1" xr2:uid="{81B131B8-40DA-4A81-A236-8E00830B305E}"/>
  </bookViews>
  <sheets>
    <sheet name="pivot" sheetId="3" r:id="rId1"/>
    <sheet name="Data Table" sheetId="1" r:id="rId2"/>
    <sheet name="DashBoard" sheetId="2" r:id="rId3"/>
  </sheets>
  <definedNames>
    <definedName name="_xlcn.WorksheetConnection_Datatable.xlsxsales1" hidden="1">sales[]</definedName>
    <definedName name="Slicer_Customer_Type">#N/A</definedName>
    <definedName name="Slicer_Payment_Method">#N/A</definedName>
    <definedName name="Slicer_Region">#N/A</definedName>
  </definedNames>
  <calcPr calcId="191029"/>
  <pivotCaches>
    <pivotCache cacheId="31" r:id="rId4"/>
    <pivotCache cacheId="34" r:id="rId5"/>
    <pivotCache cacheId="37" r:id="rId6"/>
    <pivotCache cacheId="40" r:id="rId7"/>
    <pivotCache cacheId="43" r:id="rId8"/>
    <pivotCache cacheId="46" r:id="rId9"/>
    <pivotCache cacheId="49" r:id="rId10"/>
  </pivotCaches>
  <extLst>
    <ext xmlns:x14="http://schemas.microsoft.com/office/spreadsheetml/2009/9/main" uri="{876F7934-8845-4945-9796-88D515C7AA90}">
      <x14:pivotCaches>
        <pivotCache cacheId="7"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name="sales" connection="WorksheetConnection_Data table.xlsx!sales"/>
        </x15:modelTables>
        <x15:extLst>
          <ext xmlns:x16="http://schemas.microsoft.com/office/spreadsheetml/2014/11/main" uri="{9835A34E-60A6-4A7C-AAB8-D5F71C897F49}">
            <x16:modelTimeGroupings>
              <x16:modelTimeGrouping tableName="sales"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1" i="3" l="1"/>
  <c r="U11" i="3" s="1"/>
  <c r="T12" i="3"/>
  <c r="V12" i="3" s="1"/>
  <c r="T13" i="3"/>
  <c r="V13" i="3" s="1"/>
  <c r="T14" i="3"/>
  <c r="V14" i="3" s="1"/>
  <c r="Q16" i="3"/>
  <c r="R16" i="3" s="1"/>
  <c r="Q15" i="3"/>
  <c r="R15" i="3" s="1"/>
  <c r="Q14" i="3"/>
  <c r="R14" i="3" s="1"/>
  <c r="Q13" i="3"/>
  <c r="R13" i="3" s="1"/>
  <c r="Q12" i="3"/>
  <c r="R12" i="3" s="1"/>
  <c r="O28" i="3"/>
  <c r="O29" i="3"/>
  <c r="O30" i="3"/>
  <c r="O20" i="3"/>
  <c r="O21" i="3"/>
  <c r="O22" i="3"/>
  <c r="O23" i="3"/>
  <c r="O24" i="3"/>
  <c r="O25" i="3"/>
  <c r="O26" i="3"/>
  <c r="O27" i="3"/>
  <c r="O19" i="3"/>
  <c r="O31" i="3" s="1"/>
  <c r="K15" i="3"/>
  <c r="K14" i="3"/>
  <c r="K13" i="3"/>
  <c r="L13" i="3" s="1"/>
  <c r="K12" i="3"/>
  <c r="L12" i="3" s="1"/>
  <c r="K11" i="3"/>
  <c r="L11" i="3" s="1"/>
  <c r="H15" i="3"/>
  <c r="H14" i="3"/>
  <c r="H13" i="3"/>
  <c r="H12" i="3"/>
  <c r="I12" i="3" s="1"/>
  <c r="H11" i="3"/>
  <c r="I11" i="3" s="1"/>
  <c r="E16" i="3"/>
  <c r="E15" i="3"/>
  <c r="E14" i="3"/>
  <c r="F14" i="3" s="1"/>
  <c r="E13" i="3"/>
  <c r="F13" i="3" s="1"/>
  <c r="E12" i="3"/>
  <c r="F12" i="3" s="1"/>
  <c r="A2" i="3"/>
  <c r="B12" i="3"/>
  <c r="C12" i="3" s="1"/>
  <c r="B13" i="3"/>
  <c r="B14" i="3"/>
  <c r="B15" i="3"/>
  <c r="B11" i="3"/>
  <c r="C11" i="3" s="1"/>
  <c r="U13" i="3" l="1"/>
  <c r="I13" i="3"/>
  <c r="I15" i="3" s="1"/>
  <c r="I14" i="3"/>
  <c r="V11" i="3"/>
  <c r="U14" i="3"/>
  <c r="U12" i="3"/>
  <c r="C14" i="3"/>
  <c r="C13" i="3"/>
  <c r="C15" i="3" s="1"/>
  <c r="L14" i="3"/>
  <c r="L15" i="3"/>
  <c r="F15" i="3"/>
  <c r="F1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93AADB7-2D5B-4E5E-8119-764DB01934F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A5F46EA-F222-422E-A06E-BF828638716F}" name="WorksheetConnection_Data table.xlsx!sales" type="102" refreshedVersion="8" minRefreshableVersion="5">
    <extLst>
      <ext xmlns:x15="http://schemas.microsoft.com/office/spreadsheetml/2010/11/main" uri="{DE250136-89BD-433C-8126-D09CA5730AF9}">
        <x15:connection id="sales" autoDelete="1">
          <x15:rangePr sourceName="_xlcn.WorksheetConnection_Datatable.xlsxsales1"/>
        </x15:connection>
      </ext>
    </extLst>
  </connection>
</connections>
</file>

<file path=xl/sharedStrings.xml><?xml version="1.0" encoding="utf-8"?>
<sst xmlns="http://schemas.openxmlformats.org/spreadsheetml/2006/main" count="1295" uniqueCount="98">
  <si>
    <t>Date</t>
  </si>
  <si>
    <t>Product Name</t>
  </si>
  <si>
    <t>Category</t>
  </si>
  <si>
    <t>Sales Representative</t>
  </si>
  <si>
    <t>Region</t>
  </si>
  <si>
    <t>Quantity Sold</t>
  </si>
  <si>
    <t>Unit Price</t>
  </si>
  <si>
    <t>Total Sale</t>
  </si>
  <si>
    <t>Cost Price</t>
  </si>
  <si>
    <t>Profit</t>
  </si>
  <si>
    <t>Payment Method</t>
  </si>
  <si>
    <t>Order Status</t>
  </si>
  <si>
    <t>Region Manager</t>
  </si>
  <si>
    <t>Customer Type</t>
  </si>
  <si>
    <t>Table</t>
  </si>
  <si>
    <t>Home Goods</t>
  </si>
  <si>
    <t>Charlie</t>
  </si>
  <si>
    <t>West</t>
  </si>
  <si>
    <t>Credit Card</t>
  </si>
  <si>
    <t>Completed</t>
  </si>
  <si>
    <t>Lisa White</t>
  </si>
  <si>
    <t>Regular</t>
  </si>
  <si>
    <t>Curtains</t>
  </si>
  <si>
    <t>Bob</t>
  </si>
  <si>
    <t>East</t>
  </si>
  <si>
    <t>Cash</t>
  </si>
  <si>
    <t>Pending</t>
  </si>
  <si>
    <t>Tom Brown</t>
  </si>
  <si>
    <t>VIP</t>
  </si>
  <si>
    <t>Sneakers</t>
  </si>
  <si>
    <t>Clothing</t>
  </si>
  <si>
    <t>South</t>
  </si>
  <si>
    <t>Online Transfer</t>
  </si>
  <si>
    <t>Cancelled</t>
  </si>
  <si>
    <t>Mark Davis</t>
  </si>
  <si>
    <t>New</t>
  </si>
  <si>
    <t>Chair</t>
  </si>
  <si>
    <t>Sarah Johnson</t>
  </si>
  <si>
    <t>Lamp</t>
  </si>
  <si>
    <t>Laptop</t>
  </si>
  <si>
    <t>Electronics</t>
  </si>
  <si>
    <t>T-Shirt</t>
  </si>
  <si>
    <t>Alice</t>
  </si>
  <si>
    <t>Yoga Mat</t>
  </si>
  <si>
    <t>Sports</t>
  </si>
  <si>
    <t>Tennis Racket</t>
  </si>
  <si>
    <t>North</t>
  </si>
  <si>
    <t>Dumbbells</t>
  </si>
  <si>
    <t>Eve</t>
  </si>
  <si>
    <t>Diana</t>
  </si>
  <si>
    <t>Smartphone</t>
  </si>
  <si>
    <t>Perfume</t>
  </si>
  <si>
    <t>Beauty</t>
  </si>
  <si>
    <t>Camera</t>
  </si>
  <si>
    <t>Headphones</t>
  </si>
  <si>
    <t>Football</t>
  </si>
  <si>
    <t>Shampoo</t>
  </si>
  <si>
    <t>Jeans</t>
  </si>
  <si>
    <t>Face Cream</t>
  </si>
  <si>
    <t>Jacket</t>
  </si>
  <si>
    <t>Lipstick</t>
  </si>
  <si>
    <t>Row Labels</t>
  </si>
  <si>
    <t>Grand Total</t>
  </si>
  <si>
    <t>Total Profit</t>
  </si>
  <si>
    <t>profit per regions</t>
  </si>
  <si>
    <t>Sum of Total Sale</t>
  </si>
  <si>
    <t xml:space="preserve">                 Sales per regions</t>
  </si>
  <si>
    <t xml:space="preserve">                      sales per category</t>
  </si>
  <si>
    <t>Jan</t>
  </si>
  <si>
    <t>Feb</t>
  </si>
  <si>
    <t>Mar</t>
  </si>
  <si>
    <t>Apr</t>
  </si>
  <si>
    <t>May</t>
  </si>
  <si>
    <t>Jun</t>
  </si>
  <si>
    <t>Jul</t>
  </si>
  <si>
    <t>Aug</t>
  </si>
  <si>
    <t>Sep</t>
  </si>
  <si>
    <t>Oct</t>
  </si>
  <si>
    <t>Nov</t>
  </si>
  <si>
    <t>Dec</t>
  </si>
  <si>
    <t>jan</t>
  </si>
  <si>
    <t>feb</t>
  </si>
  <si>
    <t>mar</t>
  </si>
  <si>
    <t>apr</t>
  </si>
  <si>
    <t>may</t>
  </si>
  <si>
    <t>jun</t>
  </si>
  <si>
    <t>jul</t>
  </si>
  <si>
    <t>aug</t>
  </si>
  <si>
    <t>sep</t>
  </si>
  <si>
    <t>oct</t>
  </si>
  <si>
    <t>nov</t>
  </si>
  <si>
    <t>dec</t>
  </si>
  <si>
    <t xml:space="preserve">                 Sales by Month</t>
  </si>
  <si>
    <t xml:space="preserve">                             Sales per regions Managers</t>
  </si>
  <si>
    <t xml:space="preserve">                             Sales per Sellers</t>
  </si>
  <si>
    <t xml:space="preserve">                             Order Status</t>
  </si>
  <si>
    <t>Count of Product Name</t>
  </si>
  <si>
    <t>Sum of Quantity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</si>
</sst>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F800]dddd\,\ mmmm\ dd\,\ yyyy"/>
    <numFmt numFmtId="165" formatCode="_(&quot;$&quot;* #,##0_);_(&quot;$&quot;* \(#,##0\);_(&quot;$&quot;* &quot;-&quot;??_);_(@_)"/>
  </numFmts>
  <fonts count="6">
    <font>
      <sz val="11"/>
      <color theme="1"/>
      <name val="Aptos Narrow"/>
      <family val="2"/>
      <scheme val="minor"/>
    </font>
    <font>
      <sz val="11"/>
      <color theme="1"/>
      <name val="Kulim Park"/>
    </font>
    <font>
      <b/>
      <sz val="11"/>
      <color theme="0"/>
      <name val="Kulim Park"/>
    </font>
    <font>
      <sz val="11"/>
      <color theme="1"/>
      <name val="Aptos Narrow"/>
      <family val="2"/>
      <scheme val="minor"/>
    </font>
    <font>
      <b/>
      <sz val="11"/>
      <color theme="1"/>
      <name val="Aptos Narrow"/>
      <family val="2"/>
      <scheme val="minor"/>
    </font>
    <font>
      <sz val="8"/>
      <name val="Aptos Narrow"/>
      <family val="2"/>
      <scheme val="minor"/>
    </font>
  </fonts>
  <fills count="6">
    <fill>
      <patternFill patternType="none"/>
    </fill>
    <fill>
      <patternFill patternType="gray125"/>
    </fill>
    <fill>
      <patternFill patternType="solid">
        <fgColor theme="9" tint="-0.249977111117893"/>
        <bgColor indexed="64"/>
      </patternFill>
    </fill>
    <fill>
      <patternFill patternType="solid">
        <fgColor theme="2"/>
        <bgColor indexed="64"/>
      </patternFill>
    </fill>
    <fill>
      <patternFill patternType="solid">
        <fgColor theme="4" tint="0.79998168889431442"/>
        <bgColor theme="4" tint="0.79998168889431442"/>
      </patternFill>
    </fill>
    <fill>
      <patternFill patternType="solid">
        <fgColor theme="4" tint="0.39997558519241921"/>
        <bgColor indexed="64"/>
      </patternFill>
    </fill>
  </fills>
  <borders count="2">
    <border>
      <left/>
      <right/>
      <top/>
      <bottom/>
      <diagonal/>
    </border>
    <border>
      <left/>
      <right/>
      <top style="thin">
        <color theme="4" tint="0.39997558519241921"/>
      </top>
      <bottom/>
      <diagonal/>
    </border>
  </borders>
  <cellStyleXfs count="2">
    <xf numFmtId="0" fontId="0" fillId="0" borderId="0"/>
    <xf numFmtId="44" fontId="3" fillId="0" borderId="0" applyFont="0" applyFill="0" applyBorder="0" applyAlignment="0" applyProtection="0"/>
  </cellStyleXfs>
  <cellXfs count="16">
    <xf numFmtId="0" fontId="0" fillId="0" borderId="0" xfId="0"/>
    <xf numFmtId="0" fontId="1" fillId="0" borderId="0" xfId="0" applyFont="1" applyAlignment="1">
      <alignment horizontal="center" vertical="center"/>
    </xf>
    <xf numFmtId="14" fontId="1" fillId="0" borderId="0" xfId="0" applyNumberFormat="1" applyFont="1" applyAlignment="1">
      <alignment horizontal="center" vertical="center"/>
    </xf>
    <xf numFmtId="0" fontId="2" fillId="2" borderId="0" xfId="0" applyFont="1" applyFill="1" applyAlignment="1">
      <alignment horizontal="center" vertical="center"/>
    </xf>
    <xf numFmtId="0" fontId="0" fillId="3" borderId="0" xfId="0" applyFill="1"/>
    <xf numFmtId="0" fontId="0" fillId="0" borderId="0" xfId="0" pivotButton="1"/>
    <xf numFmtId="0" fontId="0" fillId="0" borderId="0" xfId="0" applyAlignment="1">
      <alignment horizontal="left"/>
    </xf>
    <xf numFmtId="0" fontId="0" fillId="5" borderId="0" xfId="0" applyFill="1" applyAlignment="1">
      <alignment horizontal="center"/>
    </xf>
    <xf numFmtId="164" fontId="0" fillId="0" borderId="0" xfId="0" applyNumberFormat="1"/>
    <xf numFmtId="165" fontId="0" fillId="0" borderId="0" xfId="1" applyNumberFormat="1" applyFont="1"/>
    <xf numFmtId="165" fontId="0" fillId="0" borderId="0" xfId="0" applyNumberFormat="1"/>
    <xf numFmtId="0" fontId="4" fillId="4" borderId="1" xfId="0" applyFont="1" applyFill="1" applyBorder="1" applyAlignment="1">
      <alignment horizontal="left"/>
    </xf>
    <xf numFmtId="165" fontId="4" fillId="4" borderId="1" xfId="0" applyNumberFormat="1" applyFont="1" applyFill="1" applyBorder="1"/>
    <xf numFmtId="0" fontId="0" fillId="0" borderId="0" xfId="1" applyNumberFormat="1" applyFont="1"/>
    <xf numFmtId="0" fontId="4" fillId="3" borderId="0" xfId="0" applyFont="1" applyFill="1"/>
    <xf numFmtId="0" fontId="0" fillId="0" borderId="0" xfId="0" applyNumberFormat="1"/>
  </cellXfs>
  <cellStyles count="2">
    <cellStyle name="Currency" xfId="1" builtinId="4"/>
    <cellStyle name="Normal" xfId="0" builtinId="0"/>
  </cellStyles>
  <dxfs count="68">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0" formatCode="General"/>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0" formatCode="General"/>
    </dxf>
    <dxf>
      <numFmt numFmtId="165" formatCode="_(&quot;$&quot;* #,##0_);_(&quot;$&quot;* \(#,##0\);_(&quot;$&quot;* &quot;-&quot;??_);_(@_)"/>
    </dxf>
    <dxf>
      <numFmt numFmtId="165" formatCode="_(&quot;$&quot;* #,##0_);_(&quot;$&quot;* \(#,##0\);_(&quot;$&quot;* &quot;-&quot;??_);_(@_)"/>
    </dxf>
    <dxf>
      <font>
        <b val="0"/>
        <i val="0"/>
        <strike val="0"/>
        <condense val="0"/>
        <extend val="0"/>
        <outline val="0"/>
        <shadow val="0"/>
        <u val="none"/>
        <vertAlign val="baseline"/>
        <sz val="11"/>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numFmt numFmtId="19" formatCode="m/d/yyyy"/>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alignment horizontal="center" vertical="center" textRotation="0" wrapText="0" indent="0" justifyLastLine="0" shrinkToFit="0" readingOrder="0"/>
    </dxf>
    <dxf>
      <font>
        <b/>
        <i val="0"/>
        <strike val="0"/>
        <condense val="0"/>
        <extend val="0"/>
        <outline val="0"/>
        <shadow val="0"/>
        <u val="none"/>
        <vertAlign val="baseline"/>
        <sz val="11"/>
        <color theme="0"/>
        <name val="Kulim Park"/>
        <scheme val="none"/>
      </font>
      <fill>
        <patternFill patternType="solid">
          <fgColor indexed="64"/>
          <bgColor theme="9" tint="-0.249977111117893"/>
        </patternFill>
      </fill>
      <alignment horizontal="center" vertical="center" textRotation="0" wrapText="0" indent="0" justifyLastLine="0" shrinkToFit="0" readingOrder="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0" formatCode="General"/>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font>
        <color theme="7" tint="-0.499984740745262"/>
      </font>
      <fill>
        <patternFill>
          <bgColor theme="7" tint="-0.499984740745262"/>
        </patternFill>
      </fill>
    </dxf>
    <dxf>
      <font>
        <color theme="7" tint="-0.499984740745262"/>
      </font>
      <fill>
        <patternFill>
          <bgColor theme="7" tint="-0.499984740745262"/>
        </patternFill>
      </fill>
      <border>
        <left style="thin">
          <color auto="1"/>
        </left>
      </border>
    </dxf>
    <dxf>
      <font>
        <color theme="7" tint="-0.499984740745262"/>
      </font>
      <fill>
        <patternFill>
          <bgColor theme="7" tint="-0.499984740745262"/>
        </patternFill>
      </fill>
    </dxf>
    <dxf>
      <font>
        <color theme="7" tint="-0.499984740745262"/>
      </font>
      <fill>
        <patternFill>
          <fgColor theme="7" tint="-0.499984740745262"/>
          <bgColor theme="7" tint="-0.499984740745262"/>
        </patternFill>
      </fill>
    </dxf>
    <dxf>
      <font>
        <color theme="7" tint="-0.499984740745262"/>
      </font>
      <fill>
        <patternFill>
          <fgColor theme="7" tint="-0.499984740745262"/>
        </patternFill>
      </fill>
    </dxf>
    <dxf>
      <fill>
        <patternFill>
          <fgColor theme="7" tint="-0.499984740745262"/>
          <bgColor rgb="FFFFFFFF"/>
        </patternFill>
      </fill>
    </dxf>
    <dxf>
      <font>
        <color theme="7" tint="-0.499984740745262"/>
      </font>
      <fill>
        <patternFill>
          <fgColor theme="7" tint="-0.499984740745262"/>
        </patternFill>
      </fill>
    </dxf>
  </dxfs>
  <tableStyles count="5" defaultTableStyle="TableStyleMedium2" defaultPivotStyle="PivotStyleLight16">
    <tableStyle name="Slicer Style 1" pivot="0" table="0" count="1" xr9:uid="{59EEFF65-A69D-4C40-AD06-956E4488E540}">
      <tableStyleElement type="wholeTable" dxfId="67"/>
    </tableStyle>
    <tableStyle name="Slicer Style 2" pivot="0" table="0" count="1" xr9:uid="{D86A4B7A-1393-4EC8-B3FC-2E1F05036B19}">
      <tableStyleElement type="wholeTable" dxfId="66"/>
    </tableStyle>
    <tableStyle name="Slicer Style 3" pivot="0" table="0" count="1" xr9:uid="{EF3A38BD-9367-4EB0-A739-AF8ABB0624BA}">
      <tableStyleElement type="wholeTable" dxfId="65"/>
    </tableStyle>
    <tableStyle name="Slicer Style 4" pivot="0" table="0" count="7" xr9:uid="{61A05ED2-A288-4862-A028-D01CA4B57F54}">
      <tableStyleElement type="wholeTable" dxfId="64"/>
      <tableStyleElement type="headerRow" dxfId="63"/>
    </tableStyle>
    <tableStyle name="Slicer Style 5" pivot="0" table="0" count="7" xr9:uid="{B72BC021-C539-4433-9020-59CC55B26E5C}">
      <tableStyleElement type="wholeTable" dxfId="62"/>
      <tableStyleElement type="headerRow" dxfId="61"/>
    </tableStyle>
  </tableStyles>
  <colors>
    <mruColors>
      <color rgb="FFBDBDAF"/>
      <color rgb="FF87BDBF"/>
      <color rgb="FFAABACB"/>
      <color rgb="FFEAD7C2"/>
      <color rgb="FF859983"/>
      <color rgb="FFACB9C0"/>
      <color rgb="FFD9D8BA"/>
      <color rgb="FFA4B494"/>
      <color rgb="FFAABBC2"/>
      <color rgb="FFF8F4EC"/>
    </mruColors>
  </colors>
  <extLst>
    <ext xmlns:x14="http://schemas.microsoft.com/office/spreadsheetml/2009/9/main" uri="{46F421CA-312F-682f-3DD2-61675219B42D}">
      <x14:dxfs count="10">
        <dxf>
          <font>
            <sz val="13"/>
            <color theme="0"/>
          </font>
        </dxf>
        <dxf>
          <font>
            <color theme="7" tint="-0.499984740745262"/>
          </font>
        </dxf>
        <dxf>
          <font>
            <b/>
            <i val="0"/>
            <sz val="12"/>
            <color theme="0" tint="-0.24994659260841701"/>
          </font>
        </dxf>
        <dxf>
          <font>
            <color theme="0"/>
          </font>
        </dxf>
        <dxf>
          <font>
            <sz val="13"/>
            <color theme="0"/>
          </font>
        </dxf>
        <dxf>
          <font>
            <b/>
            <i val="0"/>
            <sz val="13"/>
          </font>
        </dxf>
        <dxf>
          <font>
            <color theme="3" tint="0.89996032593768116"/>
          </font>
        </dxf>
        <dxf>
          <font>
            <b/>
            <i val="0"/>
            <sz val="12"/>
            <color theme="0" tint="-0.14996795556505021"/>
            <name val="Aptos Display"/>
            <family val="2"/>
            <scheme val="major"/>
          </font>
        </dxf>
        <dxf>
          <font>
            <color theme="3" tint="0.499984740745262"/>
          </font>
        </dxf>
        <dxf>
          <font>
            <color theme="0" tint="-0.34998626667073579"/>
          </font>
        </dxf>
      </x14:dxfs>
    </ext>
    <ext xmlns:x14="http://schemas.microsoft.com/office/spreadsheetml/2009/9/main" uri="{EB79DEF2-80B8-43e5-95BD-54CBDDF9020C}">
      <x14:slicerStyles defaultSlicerStyle="Slicer Style 3">
        <x14:slicerStyle name="Slicer Style 1"/>
        <x14:slicerStyle name="Slicer Style 2"/>
        <x14:slicerStyle name="Slicer Style 3"/>
        <x14:slicerStyle name="Slicer Style 4">
          <x14:slicerStyleElements>
            <x14:slicerStyleElement type="unselectedItemWithData" dxfId="9"/>
            <x14:slicerStyleElement type="unselectedItemWithNoData" dxfId="8"/>
            <x14:slicerStyleElement type="selectedItemWithData" dxfId="7"/>
            <x14:slicerStyleElement type="selectedItemWithNoData" dxfId="6"/>
            <x14:slicerStyleElement type="hoveredSelectedItemWithData" dxfId="5"/>
          </x14:slicerStyleElements>
        </x14:slicerStyle>
        <x14:slicerStyle name="Slicer Style 5">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4.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theme" Target="theme/theme1.xml"/><Relationship Id="rId10" Type="http://schemas.openxmlformats.org/officeDocument/2006/relationships/pivotCacheDefinition" Target="pivotCache/pivotCacheDefinition7.xml"/><Relationship Id="rId19" Type="http://schemas.openxmlformats.org/officeDocument/2006/relationships/powerPivotData" Target="model/item.data"/><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Tracker Dashboard.xlsx]pivot!Sales per Regions</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40000">
                <a:srgbClr val="7B9385"/>
              </a:gs>
              <a:gs pos="75000">
                <a:schemeClr val="tx2">
                  <a:lumMod val="75000"/>
                  <a:lumOff val="25000"/>
                </a:schemeClr>
              </a:gs>
              <a:gs pos="11000">
                <a:srgbClr val="BDBDAF"/>
              </a:gs>
              <a:gs pos="100000">
                <a:schemeClr val="tx2">
                  <a:lumMod val="90000"/>
                  <a:lumOff val="10000"/>
                </a:schemeClr>
              </a:gs>
            </a:gsLst>
            <a:path path="circle">
              <a:fillToRect l="100000" b="100000"/>
            </a:path>
            <a:tileRect t="-100000" r="-100000"/>
          </a:gradFill>
          <a:ln>
            <a:solidFill>
              <a:schemeClr val="accent1">
                <a:shade val="15000"/>
              </a:schemeClr>
            </a:solidFill>
          </a:ln>
          <a:effectLst>
            <a:outerShdw blurRad="50800" dist="50800" dir="5400000" algn="ctr" rotWithShape="0">
              <a:srgbClr val="000000">
                <a:alpha val="43137"/>
              </a:srgbClr>
            </a:outerShdw>
            <a:softEdge rad="0"/>
          </a:effectLst>
          <a:scene3d>
            <a:camera prst="orthographicFront"/>
            <a:lightRig rig="threePt" dir="t"/>
          </a:scene3d>
          <a:sp3d>
            <a:bevelB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90023173485878"/>
          <c:y val="7.6407230300799461E-2"/>
          <c:w val="0.75072724674532587"/>
          <c:h val="0.69632802274824279"/>
        </c:manualLayout>
      </c:layout>
      <c:barChart>
        <c:barDir val="bar"/>
        <c:grouping val="clustered"/>
        <c:varyColors val="0"/>
        <c:ser>
          <c:idx val="0"/>
          <c:order val="0"/>
          <c:tx>
            <c:strRef>
              <c:f>pivot!$I$4</c:f>
              <c:strCache>
                <c:ptCount val="1"/>
                <c:pt idx="0">
                  <c:v>Total</c:v>
                </c:pt>
              </c:strCache>
            </c:strRef>
          </c:tx>
          <c:spPr>
            <a:gradFill flip="none" rotWithShape="1">
              <a:gsLst>
                <a:gs pos="40000">
                  <a:srgbClr val="7B9385"/>
                </a:gs>
                <a:gs pos="75000">
                  <a:schemeClr val="tx2">
                    <a:lumMod val="75000"/>
                    <a:lumOff val="25000"/>
                  </a:schemeClr>
                </a:gs>
                <a:gs pos="11000">
                  <a:srgbClr val="BDBDAF"/>
                </a:gs>
                <a:gs pos="100000">
                  <a:schemeClr val="tx2">
                    <a:lumMod val="90000"/>
                    <a:lumOff val="10000"/>
                  </a:schemeClr>
                </a:gs>
              </a:gsLst>
              <a:path path="circle">
                <a:fillToRect l="100000" b="100000"/>
              </a:path>
              <a:tileRect t="-100000" r="-100000"/>
            </a:gradFill>
            <a:ln>
              <a:solidFill>
                <a:schemeClr val="accent1">
                  <a:shade val="15000"/>
                </a:schemeClr>
              </a:solidFill>
            </a:ln>
            <a:effectLst>
              <a:outerShdw blurRad="50800" dist="50800" dir="5400000" algn="ctr" rotWithShape="0">
                <a:srgbClr val="000000">
                  <a:alpha val="43137"/>
                </a:srgbClr>
              </a:outerShdw>
              <a:softEdge rad="0"/>
            </a:effectLst>
            <a:scene3d>
              <a:camera prst="orthographicFront"/>
              <a:lightRig rig="threePt" dir="t"/>
            </a:scene3d>
            <a:sp3d>
              <a:bevelB h="0"/>
            </a:sp3d>
          </c:spPr>
          <c:invertIfNegative val="0"/>
          <c:cat>
            <c:strRef>
              <c:f>pivot!$H$5:$H$9</c:f>
              <c:strCache>
                <c:ptCount val="4"/>
                <c:pt idx="0">
                  <c:v>East</c:v>
                </c:pt>
                <c:pt idx="1">
                  <c:v>North</c:v>
                </c:pt>
                <c:pt idx="2">
                  <c:v>South</c:v>
                </c:pt>
                <c:pt idx="3">
                  <c:v>West</c:v>
                </c:pt>
              </c:strCache>
            </c:strRef>
          </c:cat>
          <c:val>
            <c:numRef>
              <c:f>pivot!$I$5:$I$9</c:f>
              <c:numCache>
                <c:formatCode>_("$"* #,##0_);_("$"* \(#,##0\);_("$"* "-"??_);_(@_)</c:formatCode>
                <c:ptCount val="4"/>
                <c:pt idx="0">
                  <c:v>60100.99</c:v>
                </c:pt>
                <c:pt idx="1">
                  <c:v>50329.01</c:v>
                </c:pt>
                <c:pt idx="2">
                  <c:v>67158.789999999994</c:v>
                </c:pt>
                <c:pt idx="3">
                  <c:v>31182.52</c:v>
                </c:pt>
              </c:numCache>
            </c:numRef>
          </c:val>
          <c:extLst>
            <c:ext xmlns:c16="http://schemas.microsoft.com/office/drawing/2014/chart" uri="{C3380CC4-5D6E-409C-BE32-E72D297353CC}">
              <c16:uniqueId val="{00000000-613E-49CE-A7E0-C6C703B0E00A}"/>
            </c:ext>
          </c:extLst>
        </c:ser>
        <c:dLbls>
          <c:showLegendKey val="0"/>
          <c:showVal val="0"/>
          <c:showCatName val="0"/>
          <c:showSerName val="0"/>
          <c:showPercent val="0"/>
          <c:showBubbleSize val="0"/>
        </c:dLbls>
        <c:gapWidth val="78"/>
        <c:overlap val="7"/>
        <c:axId val="701753288"/>
        <c:axId val="701755448"/>
      </c:barChart>
      <c:catAx>
        <c:axId val="701753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masis MT Pro Black" panose="02040A04050005020304" pitchFamily="18" charset="0"/>
                <a:ea typeface="+mn-ea"/>
                <a:cs typeface="+mn-cs"/>
              </a:defRPr>
            </a:pPr>
            <a:endParaRPr lang="en-US"/>
          </a:p>
        </c:txPr>
        <c:crossAx val="701755448"/>
        <c:crosses val="autoZero"/>
        <c:auto val="1"/>
        <c:lblAlgn val="ctr"/>
        <c:lblOffset val="100"/>
        <c:noMultiLvlLbl val="0"/>
      </c:catAx>
      <c:valAx>
        <c:axId val="701755448"/>
        <c:scaling>
          <c:orientation val="minMax"/>
          <c:max val="75000"/>
          <c:min val="0"/>
        </c:scaling>
        <c:delete val="0"/>
        <c:axPos val="b"/>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crossAx val="701753288"/>
        <c:crosses val="autoZero"/>
        <c:crossBetween val="between"/>
        <c:majorUnit val="15000"/>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Tracker Dashboard.xlsx]pivot!Sales by Month</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a:outerShdw blurRad="50800" dist="38100" algn="tl" rotWithShape="0">
              <a:prstClr val="black">
                <a:alpha val="5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59740381461177"/>
          <c:y val="5.2727287824563443E-2"/>
          <c:w val="0.86762587368285848"/>
          <c:h val="0.80545862361020004"/>
        </c:manualLayout>
      </c:layout>
      <c:lineChart>
        <c:grouping val="standard"/>
        <c:varyColors val="0"/>
        <c:ser>
          <c:idx val="0"/>
          <c:order val="0"/>
          <c:tx>
            <c:strRef>
              <c:f>pivot!$O$4</c:f>
              <c:strCache>
                <c:ptCount val="1"/>
                <c:pt idx="0">
                  <c:v>Total</c:v>
                </c:pt>
              </c:strCache>
            </c:strRef>
          </c:tx>
          <c:spPr>
            <a:ln w="28575" cap="rnd">
              <a:solidFill>
                <a:schemeClr val="accent1"/>
              </a:solidFill>
              <a:round/>
            </a:ln>
            <a:effectLst>
              <a:outerShdw blurRad="50800" dist="38100" algn="tl" rotWithShape="0">
                <a:prstClr val="black">
                  <a:alpha val="55000"/>
                </a:prstClr>
              </a:outerShdw>
            </a:effectLst>
          </c:spPr>
          <c:marker>
            <c:symbol val="none"/>
          </c:marker>
          <c:cat>
            <c:strRef>
              <c:f>pivot!$N$5:$N$17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pivot!$O$5:$O$17</c:f>
              <c:numCache>
                <c:formatCode>_("$"* #,##0_);_("$"* \(#,##0\);_("$"* "-"??_);_(@_)</c:formatCode>
                <c:ptCount val="12"/>
                <c:pt idx="0">
                  <c:v>24528.94</c:v>
                </c:pt>
                <c:pt idx="1">
                  <c:v>15451.27</c:v>
                </c:pt>
                <c:pt idx="2">
                  <c:v>17672.21</c:v>
                </c:pt>
                <c:pt idx="3">
                  <c:v>25578.95</c:v>
                </c:pt>
                <c:pt idx="4">
                  <c:v>20630.37</c:v>
                </c:pt>
                <c:pt idx="5">
                  <c:v>17614.05</c:v>
                </c:pt>
                <c:pt idx="6">
                  <c:v>15549.45</c:v>
                </c:pt>
                <c:pt idx="7">
                  <c:v>13249.36</c:v>
                </c:pt>
                <c:pt idx="8">
                  <c:v>33596.71</c:v>
                </c:pt>
                <c:pt idx="9">
                  <c:v>10508.74</c:v>
                </c:pt>
                <c:pt idx="10">
                  <c:v>9270.7800000000007</c:v>
                </c:pt>
                <c:pt idx="11">
                  <c:v>5120.4799999999996</c:v>
                </c:pt>
              </c:numCache>
            </c:numRef>
          </c:val>
          <c:smooth val="1"/>
          <c:extLst>
            <c:ext xmlns:c16="http://schemas.microsoft.com/office/drawing/2014/chart" uri="{C3380CC4-5D6E-409C-BE32-E72D297353CC}">
              <c16:uniqueId val="{00000000-FE8E-4756-A493-E2005A8B483E}"/>
            </c:ext>
          </c:extLst>
        </c:ser>
        <c:dLbls>
          <c:showLegendKey val="0"/>
          <c:showVal val="0"/>
          <c:showCatName val="0"/>
          <c:showSerName val="0"/>
          <c:showPercent val="0"/>
          <c:showBubbleSize val="0"/>
        </c:dLbls>
        <c:smooth val="0"/>
        <c:axId val="1295618504"/>
        <c:axId val="1295620304"/>
      </c:lineChart>
      <c:catAx>
        <c:axId val="1295618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crossAx val="1295620304"/>
        <c:crosses val="autoZero"/>
        <c:auto val="1"/>
        <c:lblAlgn val="ctr"/>
        <c:lblOffset val="100"/>
        <c:noMultiLvlLbl val="0"/>
      </c:catAx>
      <c:valAx>
        <c:axId val="1295620304"/>
        <c:scaling>
          <c:orientation val="minMax"/>
        </c:scaling>
        <c:delete val="0"/>
        <c:axPos val="l"/>
        <c:numFmt formatCode="_(&quot;$&quot;* #,##0_);_(&quot;$&quot;* \(#,##0\);_(&quot;$&quot;* &quot;-&quot;??_);_(@_)" sourceLinked="1"/>
        <c:majorTickMark val="none"/>
        <c:minorTickMark val="none"/>
        <c:tickLblPos val="nextTo"/>
        <c:spPr>
          <a:noFill/>
          <a:ln>
            <a:solidFill>
              <a:schemeClr val="accent1">
                <a:shade val="15000"/>
                <a:alpha val="17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crossAx val="1295618504"/>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hade val="15000"/>
          <a:alpha val="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392085047350137"/>
          <c:y val="0.15403991737488837"/>
          <c:w val="0.86500489637881139"/>
          <c:h val="0.7248415966938937"/>
        </c:manualLayout>
      </c:layout>
      <c:doughnutChart>
        <c:varyColors val="1"/>
        <c:ser>
          <c:idx val="0"/>
          <c:order val="0"/>
          <c:spPr>
            <a:ln w="12700"/>
          </c:spPr>
          <c:dPt>
            <c:idx val="0"/>
            <c:bubble3D val="0"/>
            <c:spPr>
              <a:solidFill>
                <a:schemeClr val="accent1"/>
              </a:solidFill>
              <a:ln w="12700">
                <a:solidFill>
                  <a:schemeClr val="lt1"/>
                </a:solidFill>
              </a:ln>
              <a:effectLst/>
            </c:spPr>
            <c:extLst>
              <c:ext xmlns:c16="http://schemas.microsoft.com/office/drawing/2014/chart" uri="{C3380CC4-5D6E-409C-BE32-E72D297353CC}">
                <c16:uniqueId val="{00000001-4262-466D-A584-6E3AEAD7E9E2}"/>
              </c:ext>
            </c:extLst>
          </c:dPt>
          <c:dPt>
            <c:idx val="1"/>
            <c:bubble3D val="0"/>
            <c:spPr>
              <a:solidFill>
                <a:schemeClr val="tx2">
                  <a:lumMod val="50000"/>
                  <a:lumOff val="50000"/>
                </a:schemeClr>
              </a:solidFill>
              <a:ln w="12700">
                <a:solidFill>
                  <a:schemeClr val="lt1"/>
                </a:solidFill>
              </a:ln>
              <a:effectLst/>
            </c:spPr>
            <c:extLst>
              <c:ext xmlns:c16="http://schemas.microsoft.com/office/drawing/2014/chart" uri="{C3380CC4-5D6E-409C-BE32-E72D297353CC}">
                <c16:uniqueId val="{00000003-4262-466D-A584-6E3AEAD7E9E2}"/>
              </c:ext>
            </c:extLst>
          </c:dPt>
          <c:dPt>
            <c:idx val="2"/>
            <c:bubble3D val="0"/>
            <c:spPr>
              <a:solidFill>
                <a:schemeClr val="bg1">
                  <a:lumMod val="65000"/>
                </a:schemeClr>
              </a:solidFill>
              <a:ln w="12700">
                <a:solidFill>
                  <a:schemeClr val="lt1"/>
                </a:solidFill>
              </a:ln>
              <a:effectLst/>
            </c:spPr>
            <c:extLst>
              <c:ext xmlns:c16="http://schemas.microsoft.com/office/drawing/2014/chart" uri="{C3380CC4-5D6E-409C-BE32-E72D297353CC}">
                <c16:uniqueId val="{00000005-4262-466D-A584-6E3AEAD7E9E2}"/>
              </c:ext>
            </c:extLst>
          </c:dPt>
          <c:dLbls>
            <c:dLbl>
              <c:idx val="0"/>
              <c:layout>
                <c:manualLayout>
                  <c:x val="0.14071804985993489"/>
                  <c:y val="-0.1098654312832386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262-466D-A584-6E3AEAD7E9E2}"/>
                </c:ext>
              </c:extLst>
            </c:dLbl>
            <c:dLbl>
              <c:idx val="1"/>
              <c:layout>
                <c:manualLayout>
                  <c:x val="0.16082062841135417"/>
                  <c:y val="0.1318385175398861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262-466D-A584-6E3AEAD7E9E2}"/>
                </c:ext>
              </c:extLst>
            </c:dLbl>
            <c:dLbl>
              <c:idx val="2"/>
              <c:layout>
                <c:manualLayout>
                  <c:x val="-0.15579498377349935"/>
                  <c:y val="-0.1098654312832386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262-466D-A584-6E3AEAD7E9E2}"/>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pivot!$T$11:$T$13</c:f>
              <c:strCache>
                <c:ptCount val="3"/>
                <c:pt idx="0">
                  <c:v>Cancelled</c:v>
                </c:pt>
                <c:pt idx="1">
                  <c:v>Completed</c:v>
                </c:pt>
                <c:pt idx="2">
                  <c:v>Pending</c:v>
                </c:pt>
              </c:strCache>
            </c:strRef>
          </c:cat>
          <c:val>
            <c:numRef>
              <c:f>pivot!$U$11:$U$13</c:f>
              <c:numCache>
                <c:formatCode>General</c:formatCode>
                <c:ptCount val="3"/>
                <c:pt idx="0">
                  <c:v>37</c:v>
                </c:pt>
                <c:pt idx="1">
                  <c:v>71</c:v>
                </c:pt>
                <c:pt idx="2">
                  <c:v>42</c:v>
                </c:pt>
              </c:numCache>
            </c:numRef>
          </c:val>
          <c:extLst>
            <c:ext xmlns:c16="http://schemas.microsoft.com/office/drawing/2014/chart" uri="{C3380CC4-5D6E-409C-BE32-E72D297353CC}">
              <c16:uniqueId val="{00000006-4262-466D-A584-6E3AEAD7E9E2}"/>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3.xml"/><Relationship Id="rId7" Type="http://schemas.openxmlformats.org/officeDocument/2006/relationships/image" Target="../media/image4.png"/><Relationship Id="rId12" Type="http://schemas.openxmlformats.org/officeDocument/2006/relationships/image" Target="../media/image9.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image" Target="../media/image8.png"/><Relationship Id="rId5" Type="http://schemas.openxmlformats.org/officeDocument/2006/relationships/image" Target="../media/image2.png"/><Relationship Id="rId10" Type="http://schemas.openxmlformats.org/officeDocument/2006/relationships/image" Target="../media/image7.png"/><Relationship Id="rId4" Type="http://schemas.openxmlformats.org/officeDocument/2006/relationships/hyperlink" Target="#'Data Table'!A1"/><Relationship Id="rId9"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12</xdr:col>
      <xdr:colOff>625663</xdr:colOff>
      <xdr:row>0</xdr:row>
      <xdr:rowOff>84044</xdr:rowOff>
    </xdr:from>
    <xdr:to>
      <xdr:col>13</xdr:col>
      <xdr:colOff>943162</xdr:colOff>
      <xdr:row>2</xdr:row>
      <xdr:rowOff>93382</xdr:rowOff>
    </xdr:to>
    <xdr:sp macro="" textlink="">
      <xdr:nvSpPr>
        <xdr:cNvPr id="12" name="Rectangle: Rounded Corners 11">
          <a:extLst>
            <a:ext uri="{FF2B5EF4-FFF2-40B4-BE49-F238E27FC236}">
              <a16:creationId xmlns:a16="http://schemas.microsoft.com/office/drawing/2014/main" id="{6BC5E215-D425-4999-BE3B-736DE1761308}"/>
            </a:ext>
          </a:extLst>
        </xdr:cNvPr>
        <xdr:cNvSpPr/>
      </xdr:nvSpPr>
      <xdr:spPr>
        <a:xfrm>
          <a:off x="12270442" y="84044"/>
          <a:ext cx="1559485" cy="364191"/>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t>DashBoard</a:t>
          </a:r>
        </a:p>
      </xdr:txBody>
    </xdr:sp>
    <xdr:clientData/>
  </xdr:twoCellAnchor>
  <xdr:twoCellAnchor editAs="oneCell">
    <xdr:from>
      <xdr:col>13</xdr:col>
      <xdr:colOff>588309</xdr:colOff>
      <xdr:row>0</xdr:row>
      <xdr:rowOff>93382</xdr:rowOff>
    </xdr:from>
    <xdr:to>
      <xdr:col>13</xdr:col>
      <xdr:colOff>924485</xdr:colOff>
      <xdr:row>2</xdr:row>
      <xdr:rowOff>74705</xdr:rowOff>
    </xdr:to>
    <xdr:pic>
      <xdr:nvPicPr>
        <xdr:cNvPr id="15" name="Picture 14">
          <a:hlinkClick xmlns:r="http://schemas.openxmlformats.org/officeDocument/2006/relationships" r:id="rId1"/>
          <a:extLst>
            <a:ext uri="{FF2B5EF4-FFF2-40B4-BE49-F238E27FC236}">
              <a16:creationId xmlns:a16="http://schemas.microsoft.com/office/drawing/2014/main" id="{6DF9CD80-CCDD-0C87-31F8-BF68E4986C18}"/>
            </a:ext>
          </a:extLst>
        </xdr:cNvPr>
        <xdr:cNvPicPr>
          <a:picLocks noChangeAspect="1"/>
        </xdr:cNvPicPr>
      </xdr:nvPicPr>
      <xdr:blipFill>
        <a:blip xmlns:r="http://schemas.openxmlformats.org/officeDocument/2006/relationships" r:embed="rId2"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flipV="1">
          <a:off x="13475074" y="93382"/>
          <a:ext cx="336176" cy="3361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227641</xdr:colOff>
      <xdr:row>0</xdr:row>
      <xdr:rowOff>34372</xdr:rowOff>
    </xdr:from>
    <xdr:to>
      <xdr:col>23</xdr:col>
      <xdr:colOff>561159</xdr:colOff>
      <xdr:row>38</xdr:row>
      <xdr:rowOff>142202</xdr:rowOff>
    </xdr:to>
    <xdr:sp macro="" textlink="">
      <xdr:nvSpPr>
        <xdr:cNvPr id="7" name="Rectangle: Rounded Corners 1">
          <a:extLst>
            <a:ext uri="{FF2B5EF4-FFF2-40B4-BE49-F238E27FC236}">
              <a16:creationId xmlns:a16="http://schemas.microsoft.com/office/drawing/2014/main" id="{B0EE0BA6-C75A-B431-CD02-65F7CA4774C7}"/>
            </a:ext>
          </a:extLst>
        </xdr:cNvPr>
        <xdr:cNvSpPr/>
      </xdr:nvSpPr>
      <xdr:spPr>
        <a:xfrm>
          <a:off x="227641" y="34372"/>
          <a:ext cx="14376387" cy="8060945"/>
        </a:xfrm>
        <a:prstGeom prst="roundRect">
          <a:avLst>
            <a:gd name="adj" fmla="val 1794"/>
          </a:avLst>
        </a:prstGeom>
        <a:gradFill>
          <a:gsLst>
            <a:gs pos="0">
              <a:srgbClr val="BDBDAF">
                <a:alpha val="48000"/>
              </a:srgbClr>
            </a:gs>
            <a:gs pos="44000">
              <a:srgbClr val="AABACB">
                <a:alpha val="31000"/>
              </a:srgbClr>
            </a:gs>
            <a:gs pos="19000">
              <a:schemeClr val="bg1">
                <a:lumMod val="85000"/>
              </a:schemeClr>
            </a:gs>
            <a:gs pos="77000">
              <a:srgbClr val="87BDBF">
                <a:alpha val="48000"/>
              </a:srgbClr>
            </a:gs>
            <a:gs pos="100000">
              <a:srgbClr val="BDBDAF">
                <a:alpha val="54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R</a:t>
          </a:r>
        </a:p>
      </xdr:txBody>
    </xdr:sp>
    <xdr:clientData/>
  </xdr:twoCellAnchor>
  <xdr:twoCellAnchor>
    <xdr:from>
      <xdr:col>0</xdr:col>
      <xdr:colOff>220066</xdr:colOff>
      <xdr:row>0</xdr:row>
      <xdr:rowOff>0</xdr:rowOff>
    </xdr:from>
    <xdr:to>
      <xdr:col>3</xdr:col>
      <xdr:colOff>12958</xdr:colOff>
      <xdr:row>38</xdr:row>
      <xdr:rowOff>133685</xdr:rowOff>
    </xdr:to>
    <xdr:sp macro="" textlink="">
      <xdr:nvSpPr>
        <xdr:cNvPr id="4" name="Rectangle: Top Corners Rounded 3">
          <a:extLst>
            <a:ext uri="{FF2B5EF4-FFF2-40B4-BE49-F238E27FC236}">
              <a16:creationId xmlns:a16="http://schemas.microsoft.com/office/drawing/2014/main" id="{EAAF9F34-4BB4-8AB6-536F-DFADE8A8C8CB}"/>
            </a:ext>
          </a:extLst>
        </xdr:cNvPr>
        <xdr:cNvSpPr/>
      </xdr:nvSpPr>
      <xdr:spPr>
        <a:xfrm rot="16200000">
          <a:off x="-3003934" y="3224000"/>
          <a:ext cx="8061847" cy="1613848"/>
        </a:xfrm>
        <a:prstGeom prst="round2SameRect">
          <a:avLst>
            <a:gd name="adj1" fmla="val 6833"/>
            <a:gd name="adj2" fmla="val 1905"/>
          </a:avLst>
        </a:prstGeom>
        <a:solidFill>
          <a:schemeClr val="accent4">
            <a:lumMod val="50000"/>
          </a:schemeClr>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317499</xdr:colOff>
      <xdr:row>4</xdr:row>
      <xdr:rowOff>10946</xdr:rowOff>
    </xdr:from>
    <xdr:to>
      <xdr:col>6</xdr:col>
      <xdr:colOff>229914</xdr:colOff>
      <xdr:row>11</xdr:row>
      <xdr:rowOff>21896</xdr:rowOff>
    </xdr:to>
    <xdr:sp macro="" textlink="">
      <xdr:nvSpPr>
        <xdr:cNvPr id="5" name="Rectangle: Rounded Corners 4">
          <a:extLst>
            <a:ext uri="{FF2B5EF4-FFF2-40B4-BE49-F238E27FC236}">
              <a16:creationId xmlns:a16="http://schemas.microsoft.com/office/drawing/2014/main" id="{987FD110-4813-C89D-A652-C8A9EF841797}"/>
            </a:ext>
          </a:extLst>
        </xdr:cNvPr>
        <xdr:cNvSpPr/>
      </xdr:nvSpPr>
      <xdr:spPr>
        <a:xfrm>
          <a:off x="2156809" y="755429"/>
          <a:ext cx="1751726" cy="13137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388662</xdr:colOff>
      <xdr:row>4</xdr:row>
      <xdr:rowOff>10946</xdr:rowOff>
    </xdr:from>
    <xdr:to>
      <xdr:col>9</xdr:col>
      <xdr:colOff>301078</xdr:colOff>
      <xdr:row>11</xdr:row>
      <xdr:rowOff>21896</xdr:rowOff>
    </xdr:to>
    <xdr:sp macro="" textlink="">
      <xdr:nvSpPr>
        <xdr:cNvPr id="10" name="Rectangle: Rounded Corners 9">
          <a:extLst>
            <a:ext uri="{FF2B5EF4-FFF2-40B4-BE49-F238E27FC236}">
              <a16:creationId xmlns:a16="http://schemas.microsoft.com/office/drawing/2014/main" id="{5EC1CCE6-5603-7759-6DAB-D40D7E597507}"/>
            </a:ext>
          </a:extLst>
        </xdr:cNvPr>
        <xdr:cNvSpPr/>
      </xdr:nvSpPr>
      <xdr:spPr>
        <a:xfrm>
          <a:off x="4067283" y="755429"/>
          <a:ext cx="1751726" cy="1313795"/>
        </a:xfrm>
        <a:prstGeom prst="roundRect">
          <a:avLst/>
        </a:prstGeom>
        <a:noFill/>
        <a:ln w="127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459826</xdr:colOff>
      <xdr:row>4</xdr:row>
      <xdr:rowOff>10946</xdr:rowOff>
    </xdr:from>
    <xdr:to>
      <xdr:col>12</xdr:col>
      <xdr:colOff>372242</xdr:colOff>
      <xdr:row>11</xdr:row>
      <xdr:rowOff>21896</xdr:rowOff>
    </xdr:to>
    <xdr:sp macro="" textlink="">
      <xdr:nvSpPr>
        <xdr:cNvPr id="11" name="Rectangle: Rounded Corners 10">
          <a:extLst>
            <a:ext uri="{FF2B5EF4-FFF2-40B4-BE49-F238E27FC236}">
              <a16:creationId xmlns:a16="http://schemas.microsoft.com/office/drawing/2014/main" id="{2599195E-394A-6ED4-F16B-2697DA316B69}"/>
            </a:ext>
          </a:extLst>
        </xdr:cNvPr>
        <xdr:cNvSpPr/>
      </xdr:nvSpPr>
      <xdr:spPr>
        <a:xfrm>
          <a:off x="5977757" y="755429"/>
          <a:ext cx="1751726" cy="1313795"/>
        </a:xfrm>
        <a:prstGeom prst="roundRect">
          <a:avLst/>
        </a:prstGeom>
        <a:noFill/>
        <a:ln w="127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530990</xdr:colOff>
      <xdr:row>4</xdr:row>
      <xdr:rowOff>10946</xdr:rowOff>
    </xdr:from>
    <xdr:to>
      <xdr:col>15</xdr:col>
      <xdr:colOff>443405</xdr:colOff>
      <xdr:row>11</xdr:row>
      <xdr:rowOff>21896</xdr:rowOff>
    </xdr:to>
    <xdr:sp macro="" textlink="">
      <xdr:nvSpPr>
        <xdr:cNvPr id="12" name="Rectangle: Rounded Corners 11">
          <a:extLst>
            <a:ext uri="{FF2B5EF4-FFF2-40B4-BE49-F238E27FC236}">
              <a16:creationId xmlns:a16="http://schemas.microsoft.com/office/drawing/2014/main" id="{E2D76BE2-D69D-221C-6A02-F5A9ABA69960}"/>
            </a:ext>
          </a:extLst>
        </xdr:cNvPr>
        <xdr:cNvSpPr/>
      </xdr:nvSpPr>
      <xdr:spPr>
        <a:xfrm>
          <a:off x="7888231" y="755429"/>
          <a:ext cx="1751726" cy="1313795"/>
        </a:xfrm>
        <a:prstGeom prst="roundRect">
          <a:avLst/>
        </a:prstGeom>
        <a:noFill/>
        <a:ln w="127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602154</xdr:colOff>
      <xdr:row>4</xdr:row>
      <xdr:rowOff>10946</xdr:rowOff>
    </xdr:from>
    <xdr:to>
      <xdr:col>18</xdr:col>
      <xdr:colOff>514570</xdr:colOff>
      <xdr:row>11</xdr:row>
      <xdr:rowOff>21896</xdr:rowOff>
    </xdr:to>
    <xdr:sp macro="" textlink="">
      <xdr:nvSpPr>
        <xdr:cNvPr id="13" name="Rectangle: Rounded Corners 12">
          <a:extLst>
            <a:ext uri="{FF2B5EF4-FFF2-40B4-BE49-F238E27FC236}">
              <a16:creationId xmlns:a16="http://schemas.microsoft.com/office/drawing/2014/main" id="{7EFCA666-034B-A736-DB12-80659910BF87}"/>
            </a:ext>
          </a:extLst>
        </xdr:cNvPr>
        <xdr:cNvSpPr/>
      </xdr:nvSpPr>
      <xdr:spPr>
        <a:xfrm>
          <a:off x="9660623" y="1579007"/>
          <a:ext cx="1739661" cy="1280950"/>
        </a:xfrm>
        <a:prstGeom prst="roundRect">
          <a:avLst/>
        </a:prstGeom>
        <a:noFill/>
        <a:ln w="127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25</xdr:col>
      <xdr:colOff>383190</xdr:colOff>
      <xdr:row>9</xdr:row>
      <xdr:rowOff>10948</xdr:rowOff>
    </xdr:from>
    <xdr:ext cx="184731" cy="264560"/>
    <xdr:sp macro="" textlink="">
      <xdr:nvSpPr>
        <xdr:cNvPr id="14" name="TextBox 13">
          <a:extLst>
            <a:ext uri="{FF2B5EF4-FFF2-40B4-BE49-F238E27FC236}">
              <a16:creationId xmlns:a16="http://schemas.microsoft.com/office/drawing/2014/main" id="{B17E6DC1-B12D-8428-39F7-9EBCF09724AF}"/>
            </a:ext>
          </a:extLst>
        </xdr:cNvPr>
        <xdr:cNvSpPr txBox="1"/>
      </xdr:nvSpPr>
      <xdr:spPr>
        <a:xfrm>
          <a:off x="15710776" y="168603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3</xdr:col>
      <xdr:colOff>208018</xdr:colOff>
      <xdr:row>6</xdr:row>
      <xdr:rowOff>65691</xdr:rowOff>
    </xdr:from>
    <xdr:ext cx="1631291" cy="655949"/>
    <xdr:sp macro="" textlink="pivot!C15">
      <xdr:nvSpPr>
        <xdr:cNvPr id="15" name="TextBox 14">
          <a:extLst>
            <a:ext uri="{FF2B5EF4-FFF2-40B4-BE49-F238E27FC236}">
              <a16:creationId xmlns:a16="http://schemas.microsoft.com/office/drawing/2014/main" id="{805EE771-16FE-8731-886D-0F5B308EED21}"/>
            </a:ext>
          </a:extLst>
        </xdr:cNvPr>
        <xdr:cNvSpPr txBox="1"/>
      </xdr:nvSpPr>
      <xdr:spPr>
        <a:xfrm>
          <a:off x="2047328" y="1182415"/>
          <a:ext cx="1631291"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D9B4AC6-2B0E-4AB2-A2BA-7EB80C811BC8}" type="TxLink">
            <a:rPr lang="en-US" sz="3600" b="1" i="0" u="none" strike="noStrike">
              <a:solidFill>
                <a:schemeClr val="bg2"/>
              </a:solidFill>
              <a:latin typeface="Aptos Narrow"/>
            </a:rPr>
            <a:pPr/>
            <a:t> $8,037 </a:t>
          </a:fld>
          <a:endParaRPr lang="en-US" sz="3600" b="1">
            <a:solidFill>
              <a:schemeClr val="bg2"/>
            </a:solidFill>
          </a:endParaRPr>
        </a:p>
      </xdr:txBody>
    </xdr:sp>
    <xdr:clientData/>
  </xdr:oneCellAnchor>
  <xdr:oneCellAnchor>
    <xdr:from>
      <xdr:col>3</xdr:col>
      <xdr:colOff>536467</xdr:colOff>
      <xdr:row>9</xdr:row>
      <xdr:rowOff>2</xdr:rowOff>
    </xdr:from>
    <xdr:ext cx="1094827" cy="311496"/>
    <xdr:sp macro="" textlink="pivot!C15">
      <xdr:nvSpPr>
        <xdr:cNvPr id="16" name="TextBox 15">
          <a:extLst>
            <a:ext uri="{FF2B5EF4-FFF2-40B4-BE49-F238E27FC236}">
              <a16:creationId xmlns:a16="http://schemas.microsoft.com/office/drawing/2014/main" id="{48DB3D8F-9001-BF39-240D-B0D862B213AC}"/>
            </a:ext>
          </a:extLst>
        </xdr:cNvPr>
        <xdr:cNvSpPr txBox="1"/>
      </xdr:nvSpPr>
      <xdr:spPr>
        <a:xfrm>
          <a:off x="2375777" y="1675088"/>
          <a:ext cx="109482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solidFill>
                <a:schemeClr val="bg2"/>
              </a:solidFill>
            </a:rPr>
            <a:t>total</a:t>
          </a:r>
          <a:r>
            <a:rPr lang="en-US" sz="1400" baseline="0">
              <a:solidFill>
                <a:schemeClr val="bg2"/>
              </a:solidFill>
            </a:rPr>
            <a:t> profit</a:t>
          </a:r>
          <a:endParaRPr lang="en-US" sz="1400">
            <a:solidFill>
              <a:schemeClr val="bg2"/>
            </a:solidFill>
          </a:endParaRPr>
        </a:p>
      </xdr:txBody>
    </xdr:sp>
    <xdr:clientData/>
  </xdr:oneCellAnchor>
  <xdr:oneCellAnchor>
    <xdr:from>
      <xdr:col>3</xdr:col>
      <xdr:colOff>481724</xdr:colOff>
      <xdr:row>4</xdr:row>
      <xdr:rowOff>2</xdr:rowOff>
    </xdr:from>
    <xdr:ext cx="1061983" cy="405432"/>
    <xdr:sp macro="" textlink="pivot!C15">
      <xdr:nvSpPr>
        <xdr:cNvPr id="17" name="TextBox 16">
          <a:extLst>
            <a:ext uri="{FF2B5EF4-FFF2-40B4-BE49-F238E27FC236}">
              <a16:creationId xmlns:a16="http://schemas.microsoft.com/office/drawing/2014/main" id="{CC76AA95-944D-ABCD-7094-7BBA51D009F4}"/>
            </a:ext>
          </a:extLst>
        </xdr:cNvPr>
        <xdr:cNvSpPr txBox="1"/>
      </xdr:nvSpPr>
      <xdr:spPr>
        <a:xfrm>
          <a:off x="2321034" y="744485"/>
          <a:ext cx="106198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a:solidFill>
                <a:schemeClr val="bg2"/>
              </a:solidFill>
            </a:rPr>
            <a:t>On</a:t>
          </a:r>
          <a:r>
            <a:rPr lang="en-US" sz="2000" baseline="0">
              <a:solidFill>
                <a:schemeClr val="bg2"/>
              </a:solidFill>
            </a:rPr>
            <a:t>Time</a:t>
          </a:r>
          <a:endParaRPr lang="en-US" sz="2000">
            <a:solidFill>
              <a:schemeClr val="bg2"/>
            </a:solidFill>
          </a:endParaRPr>
        </a:p>
      </xdr:txBody>
    </xdr:sp>
    <xdr:clientData/>
  </xdr:oneCellAnchor>
  <xdr:oneCellAnchor>
    <xdr:from>
      <xdr:col>15</xdr:col>
      <xdr:colOff>532279</xdr:colOff>
      <xdr:row>1</xdr:row>
      <xdr:rowOff>625661</xdr:rowOff>
    </xdr:from>
    <xdr:ext cx="1914339" cy="317500"/>
    <xdr:sp macro="" textlink="pivot!C15">
      <xdr:nvSpPr>
        <xdr:cNvPr id="18" name="TextBox 17">
          <a:extLst>
            <a:ext uri="{FF2B5EF4-FFF2-40B4-BE49-F238E27FC236}">
              <a16:creationId xmlns:a16="http://schemas.microsoft.com/office/drawing/2014/main" id="{74CC2008-41BC-3737-6967-CB600A82F20C}"/>
            </a:ext>
          </a:extLst>
        </xdr:cNvPr>
        <xdr:cNvSpPr txBox="1"/>
      </xdr:nvSpPr>
      <xdr:spPr>
        <a:xfrm>
          <a:off x="9562353" y="812426"/>
          <a:ext cx="1914339" cy="317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i="0" u="none" strike="noStrike">
              <a:solidFill>
                <a:schemeClr val="bg2">
                  <a:lumMod val="50000"/>
                </a:schemeClr>
              </a:solidFill>
              <a:effectLst/>
              <a:latin typeface="+mn-lt"/>
              <a:ea typeface="+mn-ea"/>
              <a:cs typeface="+mn-cs"/>
            </a:rPr>
            <a:t>Thursday, July 24, 2025</a:t>
          </a:r>
          <a:r>
            <a:rPr lang="en-US" sz="1400" b="1">
              <a:solidFill>
                <a:schemeClr val="bg2">
                  <a:lumMod val="50000"/>
                </a:schemeClr>
              </a:solidFill>
            </a:rPr>
            <a:t> </a:t>
          </a:r>
        </a:p>
      </xdr:txBody>
    </xdr:sp>
    <xdr:clientData/>
  </xdr:oneCellAnchor>
  <xdr:twoCellAnchor>
    <xdr:from>
      <xdr:col>3</xdr:col>
      <xdr:colOff>383190</xdr:colOff>
      <xdr:row>4</xdr:row>
      <xdr:rowOff>142328</xdr:rowOff>
    </xdr:from>
    <xdr:to>
      <xdr:col>3</xdr:col>
      <xdr:colOff>503621</xdr:colOff>
      <xdr:row>5</xdr:row>
      <xdr:rowOff>76640</xdr:rowOff>
    </xdr:to>
    <xdr:sp macro="" textlink="">
      <xdr:nvSpPr>
        <xdr:cNvPr id="19" name="Oval 18">
          <a:extLst>
            <a:ext uri="{FF2B5EF4-FFF2-40B4-BE49-F238E27FC236}">
              <a16:creationId xmlns:a16="http://schemas.microsoft.com/office/drawing/2014/main" id="{0F4E416A-6F64-61D4-8B20-74DCA1EE1D7E}"/>
            </a:ext>
          </a:extLst>
        </xdr:cNvPr>
        <xdr:cNvSpPr/>
      </xdr:nvSpPr>
      <xdr:spPr>
        <a:xfrm>
          <a:off x="2222500" y="886811"/>
          <a:ext cx="120431" cy="120432"/>
        </a:xfrm>
        <a:prstGeom prst="ellipse">
          <a:avLst/>
        </a:prstGeom>
        <a:solidFill>
          <a:srgbClr val="A30E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6</xdr:col>
      <xdr:colOff>317501</xdr:colOff>
      <xdr:row>6</xdr:row>
      <xdr:rowOff>43793</xdr:rowOff>
    </xdr:from>
    <xdr:ext cx="1773620" cy="810172"/>
    <xdr:sp macro="" textlink="pivot!C11">
      <xdr:nvSpPr>
        <xdr:cNvPr id="23" name="TextBox 22">
          <a:extLst>
            <a:ext uri="{FF2B5EF4-FFF2-40B4-BE49-F238E27FC236}">
              <a16:creationId xmlns:a16="http://schemas.microsoft.com/office/drawing/2014/main" id="{068EF3E5-75A5-4F29-3147-1DD3E69C0D0F}"/>
            </a:ext>
          </a:extLst>
        </xdr:cNvPr>
        <xdr:cNvSpPr txBox="1"/>
      </xdr:nvSpPr>
      <xdr:spPr>
        <a:xfrm>
          <a:off x="3919484" y="1992586"/>
          <a:ext cx="1773620" cy="8101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10B49D94-02BE-4FCE-913F-29597CACA872}" type="TxLink">
            <a:rPr lang="en-US" sz="3600" b="1" i="0" u="none" strike="noStrike">
              <a:solidFill>
                <a:srgbClr val="000000"/>
              </a:solidFill>
              <a:latin typeface="Aptos Narrow"/>
            </a:rPr>
            <a:pPr/>
            <a:t> $2,101 </a:t>
          </a:fld>
          <a:endParaRPr lang="en-US" sz="8800" b="1">
            <a:solidFill>
              <a:schemeClr val="tx1">
                <a:lumMod val="95000"/>
                <a:lumOff val="5000"/>
              </a:schemeClr>
            </a:solidFill>
          </a:endParaRPr>
        </a:p>
      </xdr:txBody>
    </xdr:sp>
    <xdr:clientData/>
  </xdr:oneCellAnchor>
  <xdr:oneCellAnchor>
    <xdr:from>
      <xdr:col>7</xdr:col>
      <xdr:colOff>21898</xdr:colOff>
      <xdr:row>8</xdr:row>
      <xdr:rowOff>175173</xdr:rowOff>
    </xdr:from>
    <xdr:ext cx="1094827" cy="311496"/>
    <xdr:sp macro="" textlink="pivot!C15">
      <xdr:nvSpPr>
        <xdr:cNvPr id="24" name="TextBox 23">
          <a:extLst>
            <a:ext uri="{FF2B5EF4-FFF2-40B4-BE49-F238E27FC236}">
              <a16:creationId xmlns:a16="http://schemas.microsoft.com/office/drawing/2014/main" id="{E02BD419-FCC7-7725-ED7E-10185FDC65AF}"/>
            </a:ext>
          </a:extLst>
        </xdr:cNvPr>
        <xdr:cNvSpPr txBox="1"/>
      </xdr:nvSpPr>
      <xdr:spPr>
        <a:xfrm>
          <a:off x="4313622" y="1664139"/>
          <a:ext cx="109482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solidFill>
                <a:schemeClr val="tx1">
                  <a:lumMod val="95000"/>
                  <a:lumOff val="5000"/>
                </a:schemeClr>
              </a:solidFill>
            </a:rPr>
            <a:t>East</a:t>
          </a:r>
          <a:r>
            <a:rPr lang="en-US" sz="1400" baseline="0">
              <a:solidFill>
                <a:schemeClr val="tx1">
                  <a:lumMod val="95000"/>
                  <a:lumOff val="5000"/>
                </a:schemeClr>
              </a:solidFill>
            </a:rPr>
            <a:t> Region</a:t>
          </a:r>
          <a:endParaRPr lang="en-US" sz="1400">
            <a:solidFill>
              <a:schemeClr val="tx1">
                <a:lumMod val="95000"/>
                <a:lumOff val="5000"/>
              </a:schemeClr>
            </a:solidFill>
          </a:endParaRPr>
        </a:p>
      </xdr:txBody>
    </xdr:sp>
    <xdr:clientData/>
  </xdr:oneCellAnchor>
  <xdr:oneCellAnchor>
    <xdr:from>
      <xdr:col>9</xdr:col>
      <xdr:colOff>448881</xdr:colOff>
      <xdr:row>6</xdr:row>
      <xdr:rowOff>10949</xdr:rowOff>
    </xdr:from>
    <xdr:ext cx="1631292" cy="655949"/>
    <xdr:sp macro="" textlink="pivot!C13">
      <xdr:nvSpPr>
        <xdr:cNvPr id="33" name="TextBox 32">
          <a:extLst>
            <a:ext uri="{FF2B5EF4-FFF2-40B4-BE49-F238E27FC236}">
              <a16:creationId xmlns:a16="http://schemas.microsoft.com/office/drawing/2014/main" id="{E1621E10-605A-05FC-E7CA-0611E2065A9D}"/>
            </a:ext>
          </a:extLst>
        </xdr:cNvPr>
        <xdr:cNvSpPr txBox="1"/>
      </xdr:nvSpPr>
      <xdr:spPr>
        <a:xfrm>
          <a:off x="5966812" y="1127673"/>
          <a:ext cx="1631292"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33FD98D-582A-425B-9B9B-F7044BBCD3C5}" type="TxLink">
            <a:rPr lang="en-US" sz="3600" b="1" i="0" u="none" strike="noStrike">
              <a:solidFill>
                <a:srgbClr val="000000"/>
              </a:solidFill>
              <a:latin typeface="Aptos Narrow"/>
            </a:rPr>
            <a:pPr/>
            <a:t> $2,167 </a:t>
          </a:fld>
          <a:endParaRPr lang="en-US" sz="8800" b="1">
            <a:solidFill>
              <a:schemeClr val="tx1">
                <a:lumMod val="95000"/>
                <a:lumOff val="5000"/>
              </a:schemeClr>
            </a:solidFill>
          </a:endParaRPr>
        </a:p>
      </xdr:txBody>
    </xdr:sp>
    <xdr:clientData/>
  </xdr:oneCellAnchor>
  <xdr:oneCellAnchor>
    <xdr:from>
      <xdr:col>10</xdr:col>
      <xdr:colOff>131382</xdr:colOff>
      <xdr:row>8</xdr:row>
      <xdr:rowOff>142328</xdr:rowOff>
    </xdr:from>
    <xdr:ext cx="1160516" cy="311496"/>
    <xdr:sp macro="" textlink="pivot!C15">
      <xdr:nvSpPr>
        <xdr:cNvPr id="34" name="TextBox 33">
          <a:extLst>
            <a:ext uri="{FF2B5EF4-FFF2-40B4-BE49-F238E27FC236}">
              <a16:creationId xmlns:a16="http://schemas.microsoft.com/office/drawing/2014/main" id="{C7FCBA47-C743-3C9E-0AB1-0A907F6FF9A0}"/>
            </a:ext>
          </a:extLst>
        </xdr:cNvPr>
        <xdr:cNvSpPr txBox="1"/>
      </xdr:nvSpPr>
      <xdr:spPr>
        <a:xfrm>
          <a:off x="6262416" y="1631294"/>
          <a:ext cx="116051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solidFill>
                <a:schemeClr val="tx1">
                  <a:lumMod val="95000"/>
                  <a:lumOff val="5000"/>
                </a:schemeClr>
              </a:solidFill>
            </a:rPr>
            <a:t>South</a:t>
          </a:r>
          <a:r>
            <a:rPr lang="en-US" sz="1400" baseline="0">
              <a:solidFill>
                <a:schemeClr val="tx1">
                  <a:lumMod val="95000"/>
                  <a:lumOff val="5000"/>
                </a:schemeClr>
              </a:solidFill>
            </a:rPr>
            <a:t> Region</a:t>
          </a:r>
          <a:endParaRPr lang="en-US" sz="1400">
            <a:solidFill>
              <a:schemeClr val="tx1">
                <a:lumMod val="95000"/>
                <a:lumOff val="5000"/>
              </a:schemeClr>
            </a:solidFill>
          </a:endParaRPr>
        </a:p>
      </xdr:txBody>
    </xdr:sp>
    <xdr:clientData/>
  </xdr:oneCellAnchor>
  <xdr:oneCellAnchor>
    <xdr:from>
      <xdr:col>12</xdr:col>
      <xdr:colOff>426984</xdr:colOff>
      <xdr:row>6</xdr:row>
      <xdr:rowOff>54741</xdr:rowOff>
    </xdr:from>
    <xdr:ext cx="1653187" cy="655949"/>
    <xdr:sp macro="" textlink="pivot!C14">
      <xdr:nvSpPr>
        <xdr:cNvPr id="36" name="TextBox 35">
          <a:extLst>
            <a:ext uri="{FF2B5EF4-FFF2-40B4-BE49-F238E27FC236}">
              <a16:creationId xmlns:a16="http://schemas.microsoft.com/office/drawing/2014/main" id="{BCB4A2C5-AB70-B44D-6B44-0E7500B44184}"/>
            </a:ext>
          </a:extLst>
        </xdr:cNvPr>
        <xdr:cNvSpPr txBox="1"/>
      </xdr:nvSpPr>
      <xdr:spPr>
        <a:xfrm>
          <a:off x="7784225" y="1171465"/>
          <a:ext cx="1653187"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3DE1403-B9B8-4AC6-A948-D6E6E2B183B5}" type="TxLink">
            <a:rPr lang="en-US" sz="3600" b="1" i="0" u="none" strike="noStrike">
              <a:solidFill>
                <a:srgbClr val="000000"/>
              </a:solidFill>
              <a:latin typeface="Aptos Narrow"/>
            </a:rPr>
            <a:pPr/>
            <a:t> $1,624 </a:t>
          </a:fld>
          <a:endParaRPr lang="en-US" sz="8800" b="1">
            <a:solidFill>
              <a:schemeClr val="tx1">
                <a:lumMod val="95000"/>
                <a:lumOff val="5000"/>
              </a:schemeClr>
            </a:solidFill>
          </a:endParaRPr>
        </a:p>
      </xdr:txBody>
    </xdr:sp>
    <xdr:clientData/>
  </xdr:oneCellAnchor>
  <xdr:oneCellAnchor>
    <xdr:from>
      <xdr:col>13</xdr:col>
      <xdr:colOff>186123</xdr:colOff>
      <xdr:row>9</xdr:row>
      <xdr:rowOff>10950</xdr:rowOff>
    </xdr:from>
    <xdr:ext cx="1094827" cy="311496"/>
    <xdr:sp macro="" textlink="pivot!C15">
      <xdr:nvSpPr>
        <xdr:cNvPr id="37" name="TextBox 36">
          <a:extLst>
            <a:ext uri="{FF2B5EF4-FFF2-40B4-BE49-F238E27FC236}">
              <a16:creationId xmlns:a16="http://schemas.microsoft.com/office/drawing/2014/main" id="{F34521B4-45CC-688E-22DB-4C397F0AD6C7}"/>
            </a:ext>
          </a:extLst>
        </xdr:cNvPr>
        <xdr:cNvSpPr txBox="1"/>
      </xdr:nvSpPr>
      <xdr:spPr>
        <a:xfrm>
          <a:off x="8156468" y="1686036"/>
          <a:ext cx="109482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solidFill>
                <a:schemeClr val="tx1">
                  <a:lumMod val="95000"/>
                  <a:lumOff val="5000"/>
                </a:schemeClr>
              </a:solidFill>
            </a:rPr>
            <a:t>West</a:t>
          </a:r>
          <a:r>
            <a:rPr lang="en-US" sz="1400" baseline="0">
              <a:solidFill>
                <a:schemeClr val="tx1">
                  <a:lumMod val="95000"/>
                  <a:lumOff val="5000"/>
                </a:schemeClr>
              </a:solidFill>
            </a:rPr>
            <a:t> Region</a:t>
          </a:r>
          <a:endParaRPr lang="en-US" sz="1400">
            <a:solidFill>
              <a:schemeClr val="tx1">
                <a:lumMod val="95000"/>
                <a:lumOff val="5000"/>
              </a:schemeClr>
            </a:solidFill>
          </a:endParaRPr>
        </a:p>
      </xdr:txBody>
    </xdr:sp>
    <xdr:clientData/>
  </xdr:oneCellAnchor>
  <xdr:oneCellAnchor>
    <xdr:from>
      <xdr:col>15</xdr:col>
      <xdr:colOff>525519</xdr:colOff>
      <xdr:row>6</xdr:row>
      <xdr:rowOff>43793</xdr:rowOff>
    </xdr:from>
    <xdr:ext cx="1773618" cy="655949"/>
    <xdr:sp macro="" textlink="pivot!C12">
      <xdr:nvSpPr>
        <xdr:cNvPr id="39" name="TextBox 38">
          <a:extLst>
            <a:ext uri="{FF2B5EF4-FFF2-40B4-BE49-F238E27FC236}">
              <a16:creationId xmlns:a16="http://schemas.microsoft.com/office/drawing/2014/main" id="{C6CA3AF9-889E-1A3A-B6DD-C5D24F91BCF0}"/>
            </a:ext>
          </a:extLst>
        </xdr:cNvPr>
        <xdr:cNvSpPr txBox="1"/>
      </xdr:nvSpPr>
      <xdr:spPr>
        <a:xfrm>
          <a:off x="9722071" y="1160517"/>
          <a:ext cx="1773618"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0F2BEB6-0F19-46AA-A1F6-0A324861C441}" type="TxLink">
            <a:rPr lang="en-US" sz="3600" b="1" i="0" u="none" strike="noStrike">
              <a:solidFill>
                <a:srgbClr val="000000"/>
              </a:solidFill>
              <a:latin typeface="Aptos Narrow"/>
            </a:rPr>
            <a:pPr/>
            <a:t> $2,145 </a:t>
          </a:fld>
          <a:endParaRPr lang="en-US" sz="8800" b="1">
            <a:solidFill>
              <a:schemeClr val="tx1">
                <a:lumMod val="95000"/>
                <a:lumOff val="5000"/>
              </a:schemeClr>
            </a:solidFill>
          </a:endParaRPr>
        </a:p>
      </xdr:txBody>
    </xdr:sp>
    <xdr:clientData/>
  </xdr:oneCellAnchor>
  <xdr:oneCellAnchor>
    <xdr:from>
      <xdr:col>16</xdr:col>
      <xdr:colOff>229916</xdr:colOff>
      <xdr:row>9</xdr:row>
      <xdr:rowOff>10950</xdr:rowOff>
    </xdr:from>
    <xdr:ext cx="1226205" cy="311496"/>
    <xdr:sp macro="" textlink="pivot!C15">
      <xdr:nvSpPr>
        <xdr:cNvPr id="40" name="TextBox 39">
          <a:extLst>
            <a:ext uri="{FF2B5EF4-FFF2-40B4-BE49-F238E27FC236}">
              <a16:creationId xmlns:a16="http://schemas.microsoft.com/office/drawing/2014/main" id="{36213ACA-0067-56DB-2ECC-7C78FAB7049C}"/>
            </a:ext>
          </a:extLst>
        </xdr:cNvPr>
        <xdr:cNvSpPr txBox="1"/>
      </xdr:nvSpPr>
      <xdr:spPr>
        <a:xfrm>
          <a:off x="10039571" y="1686036"/>
          <a:ext cx="122620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solidFill>
                <a:schemeClr val="tx1">
                  <a:lumMod val="95000"/>
                  <a:lumOff val="5000"/>
                </a:schemeClr>
              </a:solidFill>
            </a:rPr>
            <a:t>North</a:t>
          </a:r>
          <a:r>
            <a:rPr lang="en-US" sz="1400" baseline="0">
              <a:solidFill>
                <a:schemeClr val="tx1">
                  <a:lumMod val="95000"/>
                  <a:lumOff val="5000"/>
                </a:schemeClr>
              </a:solidFill>
            </a:rPr>
            <a:t> Region</a:t>
          </a:r>
          <a:endParaRPr lang="en-US" sz="1400">
            <a:solidFill>
              <a:schemeClr val="tx1">
                <a:lumMod val="95000"/>
                <a:lumOff val="5000"/>
              </a:schemeClr>
            </a:solidFill>
          </a:endParaRPr>
        </a:p>
      </xdr:txBody>
    </xdr:sp>
    <xdr:clientData/>
  </xdr:oneCellAnchor>
  <xdr:oneCellAnchor>
    <xdr:from>
      <xdr:col>6</xdr:col>
      <xdr:colOff>536465</xdr:colOff>
      <xdr:row>4</xdr:row>
      <xdr:rowOff>10951</xdr:rowOff>
    </xdr:from>
    <xdr:ext cx="1061983" cy="405432"/>
    <xdr:sp macro="" textlink="pivot!C15">
      <xdr:nvSpPr>
        <xdr:cNvPr id="42" name="TextBox 41">
          <a:extLst>
            <a:ext uri="{FF2B5EF4-FFF2-40B4-BE49-F238E27FC236}">
              <a16:creationId xmlns:a16="http://schemas.microsoft.com/office/drawing/2014/main" id="{BE5BB19F-263E-5720-5183-4B9DBDFA395C}"/>
            </a:ext>
          </a:extLst>
        </xdr:cNvPr>
        <xdr:cNvSpPr txBox="1"/>
      </xdr:nvSpPr>
      <xdr:spPr>
        <a:xfrm>
          <a:off x="4215086" y="755434"/>
          <a:ext cx="106198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a:solidFill>
                <a:schemeClr val="tx1">
                  <a:lumMod val="95000"/>
                  <a:lumOff val="5000"/>
                </a:schemeClr>
              </a:solidFill>
            </a:rPr>
            <a:t>On</a:t>
          </a:r>
          <a:r>
            <a:rPr lang="en-US" sz="2000" baseline="0">
              <a:solidFill>
                <a:schemeClr val="tx1">
                  <a:lumMod val="95000"/>
                  <a:lumOff val="5000"/>
                </a:schemeClr>
              </a:solidFill>
            </a:rPr>
            <a:t>Time</a:t>
          </a:r>
          <a:endParaRPr lang="en-US" sz="2000">
            <a:solidFill>
              <a:schemeClr val="tx1">
                <a:lumMod val="95000"/>
                <a:lumOff val="5000"/>
              </a:schemeClr>
            </a:solidFill>
          </a:endParaRPr>
        </a:p>
      </xdr:txBody>
    </xdr:sp>
    <xdr:clientData/>
  </xdr:oneCellAnchor>
  <xdr:oneCellAnchor>
    <xdr:from>
      <xdr:col>10</xdr:col>
      <xdr:colOff>21896</xdr:colOff>
      <xdr:row>4</xdr:row>
      <xdr:rowOff>2</xdr:rowOff>
    </xdr:from>
    <xdr:ext cx="1061983" cy="405432"/>
    <xdr:sp macro="" textlink="pivot!C15">
      <xdr:nvSpPr>
        <xdr:cNvPr id="43" name="TextBox 42">
          <a:extLst>
            <a:ext uri="{FF2B5EF4-FFF2-40B4-BE49-F238E27FC236}">
              <a16:creationId xmlns:a16="http://schemas.microsoft.com/office/drawing/2014/main" id="{EF982400-3F22-1297-FD28-084A36391890}"/>
            </a:ext>
          </a:extLst>
        </xdr:cNvPr>
        <xdr:cNvSpPr txBox="1"/>
      </xdr:nvSpPr>
      <xdr:spPr>
        <a:xfrm>
          <a:off x="6152930" y="744485"/>
          <a:ext cx="106198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a:solidFill>
                <a:schemeClr val="tx1">
                  <a:lumMod val="95000"/>
                  <a:lumOff val="5000"/>
                </a:schemeClr>
              </a:solidFill>
            </a:rPr>
            <a:t>On</a:t>
          </a:r>
          <a:r>
            <a:rPr lang="en-US" sz="2000" baseline="0">
              <a:solidFill>
                <a:schemeClr val="tx1">
                  <a:lumMod val="95000"/>
                  <a:lumOff val="5000"/>
                </a:schemeClr>
              </a:solidFill>
            </a:rPr>
            <a:t>Time</a:t>
          </a:r>
          <a:endParaRPr lang="en-US" sz="2000">
            <a:solidFill>
              <a:schemeClr val="tx1">
                <a:lumMod val="95000"/>
                <a:lumOff val="5000"/>
              </a:schemeClr>
            </a:solidFill>
          </a:endParaRPr>
        </a:p>
      </xdr:txBody>
    </xdr:sp>
    <xdr:clientData/>
  </xdr:oneCellAnchor>
  <xdr:oneCellAnchor>
    <xdr:from>
      <xdr:col>13</xdr:col>
      <xdr:colOff>65689</xdr:colOff>
      <xdr:row>4</xdr:row>
      <xdr:rowOff>2</xdr:rowOff>
    </xdr:from>
    <xdr:ext cx="1061983" cy="405432"/>
    <xdr:sp macro="" textlink="pivot!C15">
      <xdr:nvSpPr>
        <xdr:cNvPr id="46" name="TextBox 45">
          <a:extLst>
            <a:ext uri="{FF2B5EF4-FFF2-40B4-BE49-F238E27FC236}">
              <a16:creationId xmlns:a16="http://schemas.microsoft.com/office/drawing/2014/main" id="{0CBAD953-AF5F-876D-6D18-4C12BD970417}"/>
            </a:ext>
          </a:extLst>
        </xdr:cNvPr>
        <xdr:cNvSpPr txBox="1"/>
      </xdr:nvSpPr>
      <xdr:spPr>
        <a:xfrm>
          <a:off x="8036034" y="744485"/>
          <a:ext cx="106198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a:solidFill>
                <a:schemeClr val="tx1">
                  <a:lumMod val="95000"/>
                  <a:lumOff val="5000"/>
                </a:schemeClr>
              </a:solidFill>
            </a:rPr>
            <a:t>On</a:t>
          </a:r>
          <a:r>
            <a:rPr lang="en-US" sz="2000" baseline="0">
              <a:solidFill>
                <a:schemeClr val="tx1">
                  <a:lumMod val="95000"/>
                  <a:lumOff val="5000"/>
                </a:schemeClr>
              </a:solidFill>
            </a:rPr>
            <a:t>Time</a:t>
          </a:r>
          <a:endParaRPr lang="en-US" sz="2000">
            <a:solidFill>
              <a:schemeClr val="tx1">
                <a:lumMod val="95000"/>
                <a:lumOff val="5000"/>
              </a:schemeClr>
            </a:solidFill>
          </a:endParaRPr>
        </a:p>
      </xdr:txBody>
    </xdr:sp>
    <xdr:clientData/>
  </xdr:oneCellAnchor>
  <xdr:oneCellAnchor>
    <xdr:from>
      <xdr:col>16</xdr:col>
      <xdr:colOff>142328</xdr:colOff>
      <xdr:row>4</xdr:row>
      <xdr:rowOff>2</xdr:rowOff>
    </xdr:from>
    <xdr:ext cx="1061983" cy="405432"/>
    <xdr:sp macro="" textlink="pivot!C15">
      <xdr:nvSpPr>
        <xdr:cNvPr id="47" name="TextBox 46">
          <a:extLst>
            <a:ext uri="{FF2B5EF4-FFF2-40B4-BE49-F238E27FC236}">
              <a16:creationId xmlns:a16="http://schemas.microsoft.com/office/drawing/2014/main" id="{10600130-B44D-F0BF-A03F-0313E70F13F6}"/>
            </a:ext>
          </a:extLst>
        </xdr:cNvPr>
        <xdr:cNvSpPr txBox="1"/>
      </xdr:nvSpPr>
      <xdr:spPr>
        <a:xfrm>
          <a:off x="9809879" y="1568063"/>
          <a:ext cx="106198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a:solidFill>
                <a:schemeClr val="tx1">
                  <a:lumMod val="95000"/>
                  <a:lumOff val="5000"/>
                </a:schemeClr>
              </a:solidFill>
            </a:rPr>
            <a:t>On</a:t>
          </a:r>
          <a:r>
            <a:rPr lang="en-US" sz="2000" baseline="0">
              <a:solidFill>
                <a:schemeClr val="tx1">
                  <a:lumMod val="95000"/>
                  <a:lumOff val="5000"/>
                </a:schemeClr>
              </a:solidFill>
            </a:rPr>
            <a:t>Time</a:t>
          </a:r>
          <a:endParaRPr lang="en-US" sz="2000">
            <a:solidFill>
              <a:schemeClr val="tx1">
                <a:lumMod val="95000"/>
                <a:lumOff val="5000"/>
              </a:schemeClr>
            </a:solidFill>
          </a:endParaRPr>
        </a:p>
      </xdr:txBody>
    </xdr:sp>
    <xdr:clientData/>
  </xdr:oneCellAnchor>
  <xdr:twoCellAnchor>
    <xdr:from>
      <xdr:col>9</xdr:col>
      <xdr:colOff>547414</xdr:colOff>
      <xdr:row>4</xdr:row>
      <xdr:rowOff>142327</xdr:rowOff>
    </xdr:from>
    <xdr:to>
      <xdr:col>10</xdr:col>
      <xdr:colOff>54742</xdr:colOff>
      <xdr:row>5</xdr:row>
      <xdr:rowOff>76639</xdr:rowOff>
    </xdr:to>
    <xdr:sp macro="" textlink="">
      <xdr:nvSpPr>
        <xdr:cNvPr id="52" name="Oval 51">
          <a:extLst>
            <a:ext uri="{FF2B5EF4-FFF2-40B4-BE49-F238E27FC236}">
              <a16:creationId xmlns:a16="http://schemas.microsoft.com/office/drawing/2014/main" id="{92BCF23E-93BC-4ED9-A0D8-EFB8E48BB611}"/>
            </a:ext>
          </a:extLst>
        </xdr:cNvPr>
        <xdr:cNvSpPr/>
      </xdr:nvSpPr>
      <xdr:spPr>
        <a:xfrm>
          <a:off x="6065345" y="886810"/>
          <a:ext cx="120431" cy="120432"/>
        </a:xfrm>
        <a:prstGeom prst="ellipse">
          <a:avLst/>
        </a:prstGeom>
        <a:solidFill>
          <a:srgbClr val="A30E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448880</xdr:colOff>
      <xdr:row>4</xdr:row>
      <xdr:rowOff>153276</xdr:rowOff>
    </xdr:from>
    <xdr:to>
      <xdr:col>6</xdr:col>
      <xdr:colOff>569311</xdr:colOff>
      <xdr:row>5</xdr:row>
      <xdr:rowOff>87588</xdr:rowOff>
    </xdr:to>
    <xdr:sp macro="" textlink="">
      <xdr:nvSpPr>
        <xdr:cNvPr id="53" name="Oval 52">
          <a:extLst>
            <a:ext uri="{FF2B5EF4-FFF2-40B4-BE49-F238E27FC236}">
              <a16:creationId xmlns:a16="http://schemas.microsoft.com/office/drawing/2014/main" id="{5F176BFB-414B-4B01-BAD3-4568FDBA8EC1}"/>
            </a:ext>
          </a:extLst>
        </xdr:cNvPr>
        <xdr:cNvSpPr/>
      </xdr:nvSpPr>
      <xdr:spPr>
        <a:xfrm>
          <a:off x="4127501" y="897759"/>
          <a:ext cx="120431" cy="120432"/>
        </a:xfrm>
        <a:prstGeom prst="ellipse">
          <a:avLst/>
        </a:prstGeom>
        <a:solidFill>
          <a:srgbClr val="A30E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580259</xdr:colOff>
      <xdr:row>4</xdr:row>
      <xdr:rowOff>131379</xdr:rowOff>
    </xdr:from>
    <xdr:to>
      <xdr:col>13</xdr:col>
      <xdr:colOff>87586</xdr:colOff>
      <xdr:row>5</xdr:row>
      <xdr:rowOff>65691</xdr:rowOff>
    </xdr:to>
    <xdr:sp macro="" textlink="">
      <xdr:nvSpPr>
        <xdr:cNvPr id="54" name="Oval 53">
          <a:extLst>
            <a:ext uri="{FF2B5EF4-FFF2-40B4-BE49-F238E27FC236}">
              <a16:creationId xmlns:a16="http://schemas.microsoft.com/office/drawing/2014/main" id="{B9EA30BE-2C3F-424B-BC51-D70A8672DCCE}"/>
            </a:ext>
          </a:extLst>
        </xdr:cNvPr>
        <xdr:cNvSpPr/>
      </xdr:nvSpPr>
      <xdr:spPr>
        <a:xfrm>
          <a:off x="7937500" y="875862"/>
          <a:ext cx="120431" cy="120432"/>
        </a:xfrm>
        <a:prstGeom prst="ellipse">
          <a:avLst/>
        </a:prstGeom>
        <a:solidFill>
          <a:srgbClr val="A30E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350345</xdr:colOff>
      <xdr:row>12</xdr:row>
      <xdr:rowOff>109483</xdr:rowOff>
    </xdr:from>
    <xdr:to>
      <xdr:col>3</xdr:col>
      <xdr:colOff>470776</xdr:colOff>
      <xdr:row>13</xdr:row>
      <xdr:rowOff>43794</xdr:rowOff>
    </xdr:to>
    <xdr:sp macro="" textlink="">
      <xdr:nvSpPr>
        <xdr:cNvPr id="55" name="Oval 54">
          <a:extLst>
            <a:ext uri="{FF2B5EF4-FFF2-40B4-BE49-F238E27FC236}">
              <a16:creationId xmlns:a16="http://schemas.microsoft.com/office/drawing/2014/main" id="{096106EB-36F0-4A25-8B7E-A8D9574039A6}"/>
            </a:ext>
          </a:extLst>
        </xdr:cNvPr>
        <xdr:cNvSpPr/>
      </xdr:nvSpPr>
      <xdr:spPr>
        <a:xfrm>
          <a:off x="2189655" y="3175000"/>
          <a:ext cx="120431" cy="120432"/>
        </a:xfrm>
        <a:prstGeom prst="ellipse">
          <a:avLst/>
        </a:prstGeom>
        <a:solidFill>
          <a:srgbClr val="A30E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xdr:col>
      <xdr:colOff>64796</xdr:colOff>
      <xdr:row>0</xdr:row>
      <xdr:rowOff>0</xdr:rowOff>
    </xdr:from>
    <xdr:ext cx="3810000" cy="704808"/>
    <xdr:sp macro="" textlink="pivot!C15">
      <xdr:nvSpPr>
        <xdr:cNvPr id="56" name="TextBox 55">
          <a:extLst>
            <a:ext uri="{FF2B5EF4-FFF2-40B4-BE49-F238E27FC236}">
              <a16:creationId xmlns:a16="http://schemas.microsoft.com/office/drawing/2014/main" id="{0066CF58-2B63-B91E-6742-C3ACCCCEB120}"/>
            </a:ext>
          </a:extLst>
        </xdr:cNvPr>
        <xdr:cNvSpPr txBox="1"/>
      </xdr:nvSpPr>
      <xdr:spPr>
        <a:xfrm>
          <a:off x="1892041" y="0"/>
          <a:ext cx="3810000" cy="7048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3600" b="1" i="0">
              <a:solidFill>
                <a:schemeClr val="accent1">
                  <a:lumMod val="50000"/>
                </a:schemeClr>
              </a:solidFill>
              <a:latin typeface="Algerian" panose="04020705040A02060702" pitchFamily="82" charset="0"/>
              <a:ea typeface="+mn-ea"/>
              <a:cs typeface="+mn-cs"/>
            </a:rPr>
            <a:t>SALES</a:t>
          </a:r>
          <a:r>
            <a:rPr lang="en-US" sz="3600" b="1" i="0" baseline="0">
              <a:solidFill>
                <a:schemeClr val="accent1">
                  <a:lumMod val="50000"/>
                </a:schemeClr>
              </a:solidFill>
              <a:latin typeface="Algerian" panose="04020705040A02060702" pitchFamily="82" charset="0"/>
              <a:ea typeface="+mn-ea"/>
              <a:cs typeface="+mn-cs"/>
            </a:rPr>
            <a:t> TRACKER</a:t>
          </a:r>
          <a:endParaRPr lang="en-US" sz="3600" b="1" i="0">
            <a:solidFill>
              <a:schemeClr val="accent1">
                <a:lumMod val="50000"/>
              </a:schemeClr>
            </a:solidFill>
            <a:latin typeface="Algerian" panose="04020705040A02060702" pitchFamily="82" charset="0"/>
            <a:ea typeface="ADLaM Display" panose="020F0502020204030204" pitchFamily="2" charset="0"/>
            <a:cs typeface="ADLaM Display" panose="020F0502020204030204" pitchFamily="2" charset="0"/>
          </a:endParaRPr>
        </a:p>
      </xdr:txBody>
    </xdr:sp>
    <xdr:clientData/>
  </xdr:oneCellAnchor>
  <xdr:twoCellAnchor>
    <xdr:from>
      <xdr:col>3</xdr:col>
      <xdr:colOff>246224</xdr:colOff>
      <xdr:row>1</xdr:row>
      <xdr:rowOff>362857</xdr:rowOff>
    </xdr:from>
    <xdr:to>
      <xdr:col>23</xdr:col>
      <xdr:colOff>401735</xdr:colOff>
      <xdr:row>1</xdr:row>
      <xdr:rowOff>414693</xdr:rowOff>
    </xdr:to>
    <xdr:cxnSp macro="">
      <xdr:nvCxnSpPr>
        <xdr:cNvPr id="58" name="Straight Connector 57">
          <a:extLst>
            <a:ext uri="{FF2B5EF4-FFF2-40B4-BE49-F238E27FC236}">
              <a16:creationId xmlns:a16="http://schemas.microsoft.com/office/drawing/2014/main" id="{E57EB313-D07A-E412-238A-85587085D1C3}"/>
            </a:ext>
          </a:extLst>
        </xdr:cNvPr>
        <xdr:cNvCxnSpPr/>
      </xdr:nvCxnSpPr>
      <xdr:spPr>
        <a:xfrm flipV="1">
          <a:off x="2073469" y="544286"/>
          <a:ext cx="12259388" cy="51836"/>
        </a:xfrm>
        <a:prstGeom prst="line">
          <a:avLst/>
        </a:prstGeom>
        <a:ln>
          <a:solidFill>
            <a:schemeClr val="bg1">
              <a:lumMod val="85000"/>
            </a:schemeClr>
          </a:solidFill>
        </a:ln>
      </xdr:spPr>
      <xdr:style>
        <a:lnRef idx="1">
          <a:schemeClr val="accent6"/>
        </a:lnRef>
        <a:fillRef idx="0">
          <a:schemeClr val="accent6"/>
        </a:fillRef>
        <a:effectRef idx="0">
          <a:schemeClr val="accent6"/>
        </a:effectRef>
        <a:fontRef idx="minor">
          <a:schemeClr val="tx1"/>
        </a:fontRef>
      </xdr:style>
    </xdr:cxnSp>
    <xdr:clientData/>
  </xdr:twoCellAnchor>
  <xdr:oneCellAnchor>
    <xdr:from>
      <xdr:col>3</xdr:col>
      <xdr:colOff>64796</xdr:colOff>
      <xdr:row>1</xdr:row>
      <xdr:rowOff>418597</xdr:rowOff>
    </xdr:from>
    <xdr:ext cx="3174999" cy="468013"/>
    <xdr:sp macro="" textlink="pivot!Z21">
      <xdr:nvSpPr>
        <xdr:cNvPr id="68" name="TextBox 67">
          <a:extLst>
            <a:ext uri="{FF2B5EF4-FFF2-40B4-BE49-F238E27FC236}">
              <a16:creationId xmlns:a16="http://schemas.microsoft.com/office/drawing/2014/main" id="{02611F6C-2DEF-37E0-2903-374B469A1678}"/>
            </a:ext>
          </a:extLst>
        </xdr:cNvPr>
        <xdr:cNvSpPr txBox="1"/>
      </xdr:nvSpPr>
      <xdr:spPr>
        <a:xfrm>
          <a:off x="1888732" y="607746"/>
          <a:ext cx="317499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400" b="1">
              <a:solidFill>
                <a:schemeClr val="tx1">
                  <a:lumMod val="65000"/>
                  <a:lumOff val="35000"/>
                </a:schemeClr>
              </a:solidFill>
              <a:latin typeface="Agency FB" panose="020B0503020202020204" pitchFamily="34" charset="0"/>
              <a:ea typeface="+mn-ea"/>
              <a:cs typeface="+mn-cs"/>
            </a:rPr>
            <a:t>DASHBOARD</a:t>
          </a:r>
          <a:endParaRPr lang="en-US" sz="2400" b="1">
            <a:solidFill>
              <a:schemeClr val="tx1">
                <a:lumMod val="65000"/>
                <a:lumOff val="35000"/>
              </a:schemeClr>
            </a:solidFill>
            <a:latin typeface="Agency FB" panose="020B0503020202020204" pitchFamily="34" charset="0"/>
            <a:ea typeface="ADLaM Display" panose="020F0502020204030204" pitchFamily="2" charset="0"/>
            <a:cs typeface="ADLaM Display" panose="020F0502020204030204" pitchFamily="2" charset="0"/>
          </a:endParaRPr>
        </a:p>
      </xdr:txBody>
    </xdr:sp>
    <xdr:clientData/>
  </xdr:oneCellAnchor>
  <xdr:oneCellAnchor>
    <xdr:from>
      <xdr:col>3</xdr:col>
      <xdr:colOff>35972</xdr:colOff>
      <xdr:row>1</xdr:row>
      <xdr:rowOff>752868</xdr:rowOff>
    </xdr:from>
    <xdr:ext cx="4269827" cy="399405"/>
    <xdr:sp macro="" textlink="pivot!C15">
      <xdr:nvSpPr>
        <xdr:cNvPr id="69" name="TextBox 68">
          <a:extLst>
            <a:ext uri="{FF2B5EF4-FFF2-40B4-BE49-F238E27FC236}">
              <a16:creationId xmlns:a16="http://schemas.microsoft.com/office/drawing/2014/main" id="{A9E686BB-176E-8FEE-085E-CFD3D6859B34}"/>
            </a:ext>
          </a:extLst>
        </xdr:cNvPr>
        <xdr:cNvSpPr txBox="1"/>
      </xdr:nvSpPr>
      <xdr:spPr>
        <a:xfrm>
          <a:off x="1878513" y="940245"/>
          <a:ext cx="4269827" cy="3994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bg1">
                  <a:lumMod val="50000"/>
                </a:schemeClr>
              </a:solidFill>
              <a:latin typeface="Agency FB" panose="020B0503020202020204" pitchFamily="34" charset="0"/>
              <a:ea typeface="+mn-ea"/>
              <a:cs typeface="+mn-cs"/>
            </a:rPr>
            <a:t> A</a:t>
          </a:r>
          <a:r>
            <a:rPr lang="en-US" sz="2000" b="1" baseline="0">
              <a:solidFill>
                <a:schemeClr val="bg1">
                  <a:lumMod val="50000"/>
                </a:schemeClr>
              </a:solidFill>
              <a:latin typeface="Agency FB" panose="020B0503020202020204" pitchFamily="34" charset="0"/>
              <a:ea typeface="+mn-ea"/>
              <a:cs typeface="+mn-cs"/>
            </a:rPr>
            <a:t> way to manage the sales department</a:t>
          </a:r>
          <a:endParaRPr lang="en-US" sz="2000" b="1">
            <a:solidFill>
              <a:schemeClr val="bg1">
                <a:lumMod val="50000"/>
              </a:schemeClr>
            </a:solidFill>
            <a:latin typeface="Agency FB" panose="020B0503020202020204" pitchFamily="34" charset="0"/>
            <a:ea typeface="ADLaM Display" panose="020F0502020204030204" pitchFamily="2" charset="0"/>
            <a:cs typeface="ADLaM Display" panose="020F0502020204030204" pitchFamily="2" charset="0"/>
          </a:endParaRPr>
        </a:p>
      </xdr:txBody>
    </xdr:sp>
    <xdr:clientData/>
  </xdr:oneCellAnchor>
  <xdr:twoCellAnchor>
    <xdr:from>
      <xdr:col>3</xdr:col>
      <xdr:colOff>262758</xdr:colOff>
      <xdr:row>12</xdr:row>
      <xdr:rowOff>32845</xdr:rowOff>
    </xdr:from>
    <xdr:to>
      <xdr:col>7</xdr:col>
      <xdr:colOff>470776</xdr:colOff>
      <xdr:row>17</xdr:row>
      <xdr:rowOff>54741</xdr:rowOff>
    </xdr:to>
    <xdr:sp macro="" textlink="">
      <xdr:nvSpPr>
        <xdr:cNvPr id="73" name="Rectangle: Rounded Corners 72">
          <a:extLst>
            <a:ext uri="{FF2B5EF4-FFF2-40B4-BE49-F238E27FC236}">
              <a16:creationId xmlns:a16="http://schemas.microsoft.com/office/drawing/2014/main" id="{686E0EC8-4349-4F3E-A27E-FC196FFAB96A}"/>
            </a:ext>
          </a:extLst>
        </xdr:cNvPr>
        <xdr:cNvSpPr/>
      </xdr:nvSpPr>
      <xdr:spPr>
        <a:xfrm>
          <a:off x="2102068" y="3098362"/>
          <a:ext cx="2583794" cy="952500"/>
        </a:xfrm>
        <a:prstGeom prst="roundRect">
          <a:avLst/>
        </a:prstGeom>
        <a:noFill/>
        <a:ln w="127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xdr:col>
      <xdr:colOff>448881</xdr:colOff>
      <xdr:row>11</xdr:row>
      <xdr:rowOff>153276</xdr:rowOff>
    </xdr:from>
    <xdr:ext cx="1061983" cy="405432"/>
    <xdr:sp macro="" textlink="pivot!C15">
      <xdr:nvSpPr>
        <xdr:cNvPr id="74" name="TextBox 73">
          <a:extLst>
            <a:ext uri="{FF2B5EF4-FFF2-40B4-BE49-F238E27FC236}">
              <a16:creationId xmlns:a16="http://schemas.microsoft.com/office/drawing/2014/main" id="{B9FEE8A3-E649-4F40-B9E9-A4CE08273E1D}"/>
            </a:ext>
          </a:extLst>
        </xdr:cNvPr>
        <xdr:cNvSpPr txBox="1"/>
      </xdr:nvSpPr>
      <xdr:spPr>
        <a:xfrm>
          <a:off x="2288191" y="3032673"/>
          <a:ext cx="106198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a:solidFill>
                <a:schemeClr val="tx1">
                  <a:lumMod val="95000"/>
                  <a:lumOff val="5000"/>
                </a:schemeClr>
              </a:solidFill>
            </a:rPr>
            <a:t>On</a:t>
          </a:r>
          <a:r>
            <a:rPr lang="en-US" sz="2000" baseline="0">
              <a:solidFill>
                <a:schemeClr val="tx1">
                  <a:lumMod val="95000"/>
                  <a:lumOff val="5000"/>
                </a:schemeClr>
              </a:solidFill>
            </a:rPr>
            <a:t>Time</a:t>
          </a:r>
          <a:endParaRPr lang="en-US" sz="2000">
            <a:solidFill>
              <a:schemeClr val="tx1">
                <a:lumMod val="95000"/>
                <a:lumOff val="5000"/>
              </a:schemeClr>
            </a:solidFill>
          </a:endParaRPr>
        </a:p>
      </xdr:txBody>
    </xdr:sp>
    <xdr:clientData/>
  </xdr:oneCellAnchor>
  <xdr:twoCellAnchor>
    <xdr:from>
      <xdr:col>16</xdr:col>
      <xdr:colOff>43793</xdr:colOff>
      <xdr:row>4</xdr:row>
      <xdr:rowOff>142327</xdr:rowOff>
    </xdr:from>
    <xdr:to>
      <xdr:col>16</xdr:col>
      <xdr:colOff>164224</xdr:colOff>
      <xdr:row>5</xdr:row>
      <xdr:rowOff>76639</xdr:rowOff>
    </xdr:to>
    <xdr:sp macro="" textlink="">
      <xdr:nvSpPr>
        <xdr:cNvPr id="75" name="Oval 74">
          <a:extLst>
            <a:ext uri="{FF2B5EF4-FFF2-40B4-BE49-F238E27FC236}">
              <a16:creationId xmlns:a16="http://schemas.microsoft.com/office/drawing/2014/main" id="{AD353889-7BD2-422F-8B63-61B2923558CF}"/>
            </a:ext>
          </a:extLst>
        </xdr:cNvPr>
        <xdr:cNvSpPr/>
      </xdr:nvSpPr>
      <xdr:spPr>
        <a:xfrm>
          <a:off x="9711344" y="1710388"/>
          <a:ext cx="120431" cy="115741"/>
        </a:xfrm>
        <a:prstGeom prst="ellipse">
          <a:avLst/>
        </a:prstGeom>
        <a:solidFill>
          <a:srgbClr val="A30E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xdr:col>
      <xdr:colOff>306552</xdr:colOff>
      <xdr:row>13</xdr:row>
      <xdr:rowOff>109484</xdr:rowOff>
    </xdr:from>
    <xdr:ext cx="733535" cy="1031629"/>
    <xdr:sp macro="" textlink="pivot!C15">
      <xdr:nvSpPr>
        <xdr:cNvPr id="76" name="TextBox 75">
          <a:extLst>
            <a:ext uri="{FF2B5EF4-FFF2-40B4-BE49-F238E27FC236}">
              <a16:creationId xmlns:a16="http://schemas.microsoft.com/office/drawing/2014/main" id="{4FC3B45C-5548-75B7-EA44-B9CB39B2FC49}"/>
            </a:ext>
          </a:extLst>
        </xdr:cNvPr>
        <xdr:cNvSpPr txBox="1"/>
      </xdr:nvSpPr>
      <xdr:spPr>
        <a:xfrm>
          <a:off x="2145862" y="3361122"/>
          <a:ext cx="733535" cy="10316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a:solidFill>
                <a:schemeClr val="tx1">
                  <a:lumMod val="95000"/>
                  <a:lumOff val="5000"/>
                </a:schemeClr>
              </a:solidFill>
            </a:rPr>
            <a:t>total</a:t>
          </a:r>
          <a:r>
            <a:rPr lang="en-US" sz="2000" baseline="0">
              <a:solidFill>
                <a:schemeClr val="tx1">
                  <a:lumMod val="95000"/>
                  <a:lumOff val="5000"/>
                </a:schemeClr>
              </a:solidFill>
            </a:rPr>
            <a:t> sales</a:t>
          </a:r>
        </a:p>
        <a:p>
          <a:endParaRPr lang="en-US" sz="2000">
            <a:solidFill>
              <a:schemeClr val="tx1">
                <a:lumMod val="95000"/>
                <a:lumOff val="5000"/>
              </a:schemeClr>
            </a:solidFill>
          </a:endParaRPr>
        </a:p>
      </xdr:txBody>
    </xdr:sp>
    <xdr:clientData/>
  </xdr:oneCellAnchor>
  <xdr:oneCellAnchor>
    <xdr:from>
      <xdr:col>4</xdr:col>
      <xdr:colOff>317499</xdr:colOff>
      <xdr:row>13</xdr:row>
      <xdr:rowOff>153276</xdr:rowOff>
    </xdr:from>
    <xdr:ext cx="2145861" cy="503620"/>
    <xdr:sp macro="" textlink="pivot!F17">
      <xdr:nvSpPr>
        <xdr:cNvPr id="77" name="TextBox 76">
          <a:extLst>
            <a:ext uri="{FF2B5EF4-FFF2-40B4-BE49-F238E27FC236}">
              <a16:creationId xmlns:a16="http://schemas.microsoft.com/office/drawing/2014/main" id="{86A36AEE-102F-544A-D0EF-98BA94E5E8DE}"/>
            </a:ext>
          </a:extLst>
        </xdr:cNvPr>
        <xdr:cNvSpPr txBox="1"/>
      </xdr:nvSpPr>
      <xdr:spPr>
        <a:xfrm>
          <a:off x="2693275" y="3404914"/>
          <a:ext cx="2145861" cy="5036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1FFF71C1-7110-4E04-BA59-F3D2CB8D095A}" type="TxLink">
            <a:rPr lang="en-US" sz="3600" b="1" i="0" u="none" strike="noStrike">
              <a:solidFill>
                <a:srgbClr val="000000"/>
              </a:solidFill>
              <a:latin typeface="Aptos Narrow"/>
            </a:rPr>
            <a:pPr/>
            <a:t> $208,771 </a:t>
          </a:fld>
          <a:endParaRPr lang="en-US" sz="3600" b="1" i="0" u="none" strike="noStrike">
            <a:solidFill>
              <a:srgbClr val="000000"/>
            </a:solidFill>
            <a:latin typeface="Aptos Narrow"/>
          </a:endParaRPr>
        </a:p>
      </xdr:txBody>
    </xdr:sp>
    <xdr:clientData/>
  </xdr:oneCellAnchor>
  <xdr:twoCellAnchor>
    <xdr:from>
      <xdr:col>3</xdr:col>
      <xdr:colOff>229016</xdr:colOff>
      <xdr:row>18</xdr:row>
      <xdr:rowOff>41639</xdr:rowOff>
    </xdr:from>
    <xdr:to>
      <xdr:col>7</xdr:col>
      <xdr:colOff>437932</xdr:colOff>
      <xdr:row>37</xdr:row>
      <xdr:rowOff>109483</xdr:rowOff>
    </xdr:to>
    <xdr:sp macro="" textlink="">
      <xdr:nvSpPr>
        <xdr:cNvPr id="89" name="Rectangle: Rounded Corners 88">
          <a:extLst>
            <a:ext uri="{FF2B5EF4-FFF2-40B4-BE49-F238E27FC236}">
              <a16:creationId xmlns:a16="http://schemas.microsoft.com/office/drawing/2014/main" id="{1538E1A8-1807-F961-5583-4D68C2DCAC65}"/>
            </a:ext>
          </a:extLst>
        </xdr:cNvPr>
        <xdr:cNvSpPr/>
      </xdr:nvSpPr>
      <xdr:spPr>
        <a:xfrm>
          <a:off x="2071557" y="4247213"/>
          <a:ext cx="2582359" cy="3628008"/>
        </a:xfrm>
        <a:prstGeom prst="roundRect">
          <a:avLst>
            <a:gd name="adj" fmla="val 5000"/>
          </a:avLst>
        </a:prstGeom>
        <a:no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xdr:col>
      <xdr:colOff>317499</xdr:colOff>
      <xdr:row>18</xdr:row>
      <xdr:rowOff>98533</xdr:rowOff>
    </xdr:from>
    <xdr:ext cx="1937846" cy="711639"/>
    <xdr:sp macro="" textlink="pivot!F17">
      <xdr:nvSpPr>
        <xdr:cNvPr id="90" name="TextBox 89">
          <a:extLst>
            <a:ext uri="{FF2B5EF4-FFF2-40B4-BE49-F238E27FC236}">
              <a16:creationId xmlns:a16="http://schemas.microsoft.com/office/drawing/2014/main" id="{E9916BF0-F289-A3F1-76C6-76C1B96D05AB}"/>
            </a:ext>
          </a:extLst>
        </xdr:cNvPr>
        <xdr:cNvSpPr txBox="1"/>
      </xdr:nvSpPr>
      <xdr:spPr>
        <a:xfrm>
          <a:off x="2156809" y="4280774"/>
          <a:ext cx="1937846" cy="7116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i="0" u="none" strike="noStrike">
              <a:solidFill>
                <a:srgbClr val="000000"/>
              </a:solidFill>
              <a:latin typeface="Aptos Narrow"/>
            </a:rPr>
            <a:t>Total</a:t>
          </a:r>
          <a:r>
            <a:rPr lang="en-US" sz="1800" b="1" i="0" u="none" strike="noStrike" baseline="0">
              <a:solidFill>
                <a:srgbClr val="000000"/>
              </a:solidFill>
              <a:latin typeface="Aptos Narrow"/>
            </a:rPr>
            <a:t> Sales by Categories</a:t>
          </a:r>
          <a:endParaRPr lang="en-US" sz="1800" b="1" i="0" u="none" strike="noStrike">
            <a:solidFill>
              <a:srgbClr val="000000"/>
            </a:solidFill>
            <a:latin typeface="Aptos Narrow"/>
          </a:endParaRPr>
        </a:p>
      </xdr:txBody>
    </xdr:sp>
    <xdr:clientData/>
  </xdr:oneCellAnchor>
  <xdr:oneCellAnchor>
    <xdr:from>
      <xdr:col>4</xdr:col>
      <xdr:colOff>96600</xdr:colOff>
      <xdr:row>25</xdr:row>
      <xdr:rowOff>53614</xdr:rowOff>
    </xdr:from>
    <xdr:ext cx="1105776" cy="426983"/>
    <xdr:sp macro="" textlink="pivot!C15">
      <xdr:nvSpPr>
        <xdr:cNvPr id="96" name="TextBox 95">
          <a:extLst>
            <a:ext uri="{FF2B5EF4-FFF2-40B4-BE49-F238E27FC236}">
              <a16:creationId xmlns:a16="http://schemas.microsoft.com/office/drawing/2014/main" id="{CD57239B-26B3-7B22-AE54-6D8310C844A3}"/>
            </a:ext>
          </a:extLst>
        </xdr:cNvPr>
        <xdr:cNvSpPr txBox="1"/>
      </xdr:nvSpPr>
      <xdr:spPr>
        <a:xfrm>
          <a:off x="2449835" y="5553835"/>
          <a:ext cx="1105776" cy="4269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0" i="0" u="none" strike="noStrike">
              <a:solidFill>
                <a:schemeClr val="tx1"/>
              </a:solidFill>
              <a:effectLst/>
              <a:latin typeface="+mn-lt"/>
              <a:ea typeface="+mn-ea"/>
              <a:cs typeface="+mn-cs"/>
            </a:rPr>
            <a:t>Clothing</a:t>
          </a:r>
          <a:r>
            <a:rPr lang="en-US" sz="2000"/>
            <a:t> </a:t>
          </a:r>
          <a:endParaRPr lang="en-US" sz="2000" baseline="0">
            <a:solidFill>
              <a:schemeClr val="tx1">
                <a:lumMod val="95000"/>
                <a:lumOff val="5000"/>
              </a:schemeClr>
            </a:solidFill>
          </a:endParaRPr>
        </a:p>
        <a:p>
          <a:endParaRPr lang="en-US" sz="2000">
            <a:solidFill>
              <a:schemeClr val="tx1">
                <a:lumMod val="95000"/>
                <a:lumOff val="5000"/>
              </a:schemeClr>
            </a:solidFill>
          </a:endParaRPr>
        </a:p>
      </xdr:txBody>
    </xdr:sp>
    <xdr:clientData/>
  </xdr:oneCellAnchor>
  <xdr:oneCellAnchor>
    <xdr:from>
      <xdr:col>4</xdr:col>
      <xdr:colOff>96599</xdr:colOff>
      <xdr:row>28</xdr:row>
      <xdr:rowOff>18032</xdr:rowOff>
    </xdr:from>
    <xdr:ext cx="1280949" cy="432458"/>
    <xdr:sp macro="" textlink="pivot!C15">
      <xdr:nvSpPr>
        <xdr:cNvPr id="97" name="TextBox 96">
          <a:extLst>
            <a:ext uri="{FF2B5EF4-FFF2-40B4-BE49-F238E27FC236}">
              <a16:creationId xmlns:a16="http://schemas.microsoft.com/office/drawing/2014/main" id="{40C4D037-EA1C-0197-8752-60F07EE1F807}"/>
            </a:ext>
          </a:extLst>
        </xdr:cNvPr>
        <xdr:cNvSpPr txBox="1"/>
      </xdr:nvSpPr>
      <xdr:spPr>
        <a:xfrm>
          <a:off x="2449834" y="6078547"/>
          <a:ext cx="1280949" cy="4324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0" i="0" u="none" strike="noStrike">
              <a:solidFill>
                <a:schemeClr val="tx1"/>
              </a:solidFill>
              <a:effectLst/>
              <a:latin typeface="+mn-lt"/>
              <a:ea typeface="+mn-ea"/>
              <a:cs typeface="+mn-cs"/>
            </a:rPr>
            <a:t>Electronics</a:t>
          </a:r>
          <a:r>
            <a:rPr lang="en-US" sz="2000"/>
            <a:t> </a:t>
          </a:r>
          <a:endParaRPr lang="en-US" sz="2000" baseline="0">
            <a:solidFill>
              <a:schemeClr val="tx1">
                <a:lumMod val="95000"/>
                <a:lumOff val="5000"/>
              </a:schemeClr>
            </a:solidFill>
          </a:endParaRPr>
        </a:p>
        <a:p>
          <a:endParaRPr lang="en-US" sz="2000">
            <a:solidFill>
              <a:schemeClr val="tx1">
                <a:lumMod val="95000"/>
                <a:lumOff val="5000"/>
              </a:schemeClr>
            </a:solidFill>
          </a:endParaRPr>
        </a:p>
      </xdr:txBody>
    </xdr:sp>
    <xdr:clientData/>
  </xdr:oneCellAnchor>
  <xdr:oneCellAnchor>
    <xdr:from>
      <xdr:col>4</xdr:col>
      <xdr:colOff>113664</xdr:colOff>
      <xdr:row>31</xdr:row>
      <xdr:rowOff>80986</xdr:rowOff>
    </xdr:from>
    <xdr:ext cx="1390431" cy="358555"/>
    <xdr:sp macro="" textlink="pivot!C15">
      <xdr:nvSpPr>
        <xdr:cNvPr id="98" name="TextBox 97">
          <a:extLst>
            <a:ext uri="{FF2B5EF4-FFF2-40B4-BE49-F238E27FC236}">
              <a16:creationId xmlns:a16="http://schemas.microsoft.com/office/drawing/2014/main" id="{F7A51F11-6133-686C-7212-959E58C59224}"/>
            </a:ext>
          </a:extLst>
        </xdr:cNvPr>
        <xdr:cNvSpPr txBox="1"/>
      </xdr:nvSpPr>
      <xdr:spPr>
        <a:xfrm>
          <a:off x="2466899" y="6701795"/>
          <a:ext cx="1390431" cy="3585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0" i="0" u="none" strike="noStrike">
              <a:solidFill>
                <a:schemeClr val="tx1"/>
              </a:solidFill>
              <a:effectLst/>
              <a:latin typeface="+mn-lt"/>
              <a:ea typeface="+mn-ea"/>
              <a:cs typeface="+mn-cs"/>
            </a:rPr>
            <a:t>Home</a:t>
          </a:r>
          <a:r>
            <a:rPr lang="en-US" sz="1100" b="0" i="0" u="none" strike="noStrike">
              <a:solidFill>
                <a:schemeClr val="tx1"/>
              </a:solidFill>
              <a:effectLst/>
              <a:latin typeface="+mn-lt"/>
              <a:ea typeface="+mn-ea"/>
              <a:cs typeface="+mn-cs"/>
            </a:rPr>
            <a:t> </a:t>
          </a:r>
          <a:r>
            <a:rPr lang="en-US" sz="1800" b="0" i="0" u="none" strike="noStrike">
              <a:solidFill>
                <a:schemeClr val="tx1"/>
              </a:solidFill>
              <a:effectLst/>
              <a:latin typeface="+mn-lt"/>
              <a:ea typeface="+mn-ea"/>
              <a:cs typeface="+mn-cs"/>
            </a:rPr>
            <a:t>Goods</a:t>
          </a:r>
          <a:r>
            <a:rPr lang="en-US" sz="2000"/>
            <a:t> </a:t>
          </a:r>
          <a:endParaRPr lang="en-US" sz="2000" baseline="0">
            <a:solidFill>
              <a:schemeClr val="tx1">
                <a:lumMod val="95000"/>
                <a:lumOff val="5000"/>
              </a:schemeClr>
            </a:solidFill>
          </a:endParaRPr>
        </a:p>
        <a:p>
          <a:endParaRPr lang="en-US" sz="2000">
            <a:solidFill>
              <a:schemeClr val="tx1">
                <a:lumMod val="95000"/>
                <a:lumOff val="5000"/>
              </a:schemeClr>
            </a:solidFill>
          </a:endParaRPr>
        </a:p>
      </xdr:txBody>
    </xdr:sp>
    <xdr:clientData/>
  </xdr:oneCellAnchor>
  <xdr:oneCellAnchor>
    <xdr:from>
      <xdr:col>4</xdr:col>
      <xdr:colOff>96600</xdr:colOff>
      <xdr:row>34</xdr:row>
      <xdr:rowOff>45403</xdr:rowOff>
    </xdr:from>
    <xdr:ext cx="1105776" cy="426983"/>
    <xdr:sp macro="" textlink="pivot!C15">
      <xdr:nvSpPr>
        <xdr:cNvPr id="99" name="TextBox 98">
          <a:extLst>
            <a:ext uri="{FF2B5EF4-FFF2-40B4-BE49-F238E27FC236}">
              <a16:creationId xmlns:a16="http://schemas.microsoft.com/office/drawing/2014/main" id="{EC1A992F-6E4E-5829-09AE-809723996C5B}"/>
            </a:ext>
          </a:extLst>
        </xdr:cNvPr>
        <xdr:cNvSpPr txBox="1"/>
      </xdr:nvSpPr>
      <xdr:spPr>
        <a:xfrm>
          <a:off x="2449835" y="7226506"/>
          <a:ext cx="1105776" cy="4269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0" i="0" u="none" strike="noStrike">
              <a:solidFill>
                <a:schemeClr val="tx1"/>
              </a:solidFill>
              <a:effectLst/>
              <a:latin typeface="+mn-lt"/>
              <a:ea typeface="+mn-ea"/>
              <a:cs typeface="+mn-cs"/>
            </a:rPr>
            <a:t>Sports</a:t>
          </a:r>
          <a:r>
            <a:rPr lang="en-US" sz="2000"/>
            <a:t> </a:t>
          </a:r>
          <a:endParaRPr lang="en-US" sz="2000" baseline="0">
            <a:solidFill>
              <a:schemeClr val="tx1">
                <a:lumMod val="95000"/>
                <a:lumOff val="5000"/>
              </a:schemeClr>
            </a:solidFill>
          </a:endParaRPr>
        </a:p>
        <a:p>
          <a:endParaRPr lang="en-US" sz="2000">
            <a:solidFill>
              <a:schemeClr val="tx1">
                <a:lumMod val="95000"/>
                <a:lumOff val="5000"/>
              </a:schemeClr>
            </a:solidFill>
          </a:endParaRPr>
        </a:p>
      </xdr:txBody>
    </xdr:sp>
    <xdr:clientData/>
  </xdr:oneCellAnchor>
  <xdr:oneCellAnchor>
    <xdr:from>
      <xdr:col>6</xdr:col>
      <xdr:colOff>77604</xdr:colOff>
      <xdr:row>22</xdr:row>
      <xdr:rowOff>143939</xdr:rowOff>
    </xdr:from>
    <xdr:ext cx="1105776" cy="426983"/>
    <xdr:sp macro="" textlink="pivot!F12">
      <xdr:nvSpPr>
        <xdr:cNvPr id="100" name="TextBox 99">
          <a:extLst>
            <a:ext uri="{FF2B5EF4-FFF2-40B4-BE49-F238E27FC236}">
              <a16:creationId xmlns:a16="http://schemas.microsoft.com/office/drawing/2014/main" id="{A7EA2E57-042C-B13E-2C7B-2D5F34547781}"/>
            </a:ext>
          </a:extLst>
        </xdr:cNvPr>
        <xdr:cNvSpPr txBox="1"/>
      </xdr:nvSpPr>
      <xdr:spPr>
        <a:xfrm>
          <a:off x="3644810" y="5083865"/>
          <a:ext cx="1105776" cy="4269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38D51A0-AD9E-4F8F-9970-58452540D088}" type="TxLink">
            <a:rPr lang="en-US" sz="1800" b="0" i="0" u="none" strike="noStrike" baseline="0">
              <a:solidFill>
                <a:schemeClr val="tx1">
                  <a:lumMod val="95000"/>
                  <a:lumOff val="5000"/>
                </a:schemeClr>
              </a:solidFill>
              <a:latin typeface="Aptos Narrow"/>
            </a:rPr>
            <a:pPr/>
            <a:t> $29,182 </a:t>
          </a:fld>
          <a:endParaRPr lang="en-US" sz="3600">
            <a:solidFill>
              <a:schemeClr val="tx1">
                <a:lumMod val="95000"/>
                <a:lumOff val="5000"/>
              </a:schemeClr>
            </a:solidFill>
          </a:endParaRPr>
        </a:p>
      </xdr:txBody>
    </xdr:sp>
    <xdr:clientData/>
  </xdr:oneCellAnchor>
  <xdr:oneCellAnchor>
    <xdr:from>
      <xdr:col>6</xdr:col>
      <xdr:colOff>88553</xdr:colOff>
      <xdr:row>25</xdr:row>
      <xdr:rowOff>154885</xdr:rowOff>
    </xdr:from>
    <xdr:ext cx="1105776" cy="426983"/>
    <xdr:sp macro="" textlink="pivot!F13">
      <xdr:nvSpPr>
        <xdr:cNvPr id="101" name="TextBox 100">
          <a:extLst>
            <a:ext uri="{FF2B5EF4-FFF2-40B4-BE49-F238E27FC236}">
              <a16:creationId xmlns:a16="http://schemas.microsoft.com/office/drawing/2014/main" id="{48A5EF4E-AF9D-9274-6F7B-0B876EECFD7A}"/>
            </a:ext>
          </a:extLst>
        </xdr:cNvPr>
        <xdr:cNvSpPr txBox="1"/>
      </xdr:nvSpPr>
      <xdr:spPr>
        <a:xfrm>
          <a:off x="3655759" y="5655106"/>
          <a:ext cx="1105776" cy="4269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06919916-AB81-4CAD-B255-8814F866A9B7}" type="TxLink">
            <a:rPr lang="en-US" sz="1800" b="0" i="0" u="none" strike="noStrike" baseline="0">
              <a:solidFill>
                <a:schemeClr val="tx1">
                  <a:lumMod val="95000"/>
                  <a:lumOff val="5000"/>
                </a:schemeClr>
              </a:solidFill>
              <a:latin typeface="Aptos Narrow"/>
            </a:rPr>
            <a:pPr/>
            <a:t> $27,014 </a:t>
          </a:fld>
          <a:endParaRPr lang="en-US" sz="3600">
            <a:solidFill>
              <a:schemeClr val="tx1">
                <a:lumMod val="95000"/>
                <a:lumOff val="5000"/>
              </a:schemeClr>
            </a:solidFill>
          </a:endParaRPr>
        </a:p>
      </xdr:txBody>
    </xdr:sp>
    <xdr:clientData/>
  </xdr:oneCellAnchor>
  <xdr:oneCellAnchor>
    <xdr:from>
      <xdr:col>6</xdr:col>
      <xdr:colOff>93382</xdr:colOff>
      <xdr:row>28</xdr:row>
      <xdr:rowOff>100143</xdr:rowOff>
    </xdr:from>
    <xdr:ext cx="1105776" cy="426983"/>
    <xdr:sp macro="" textlink="pivot!F14">
      <xdr:nvSpPr>
        <xdr:cNvPr id="102" name="TextBox 101">
          <a:extLst>
            <a:ext uri="{FF2B5EF4-FFF2-40B4-BE49-F238E27FC236}">
              <a16:creationId xmlns:a16="http://schemas.microsoft.com/office/drawing/2014/main" id="{33C6C8E3-E584-220B-47C1-3088CDAC7D6E}"/>
            </a:ext>
          </a:extLst>
        </xdr:cNvPr>
        <xdr:cNvSpPr txBox="1"/>
      </xdr:nvSpPr>
      <xdr:spPr>
        <a:xfrm>
          <a:off x="3660588" y="6160658"/>
          <a:ext cx="1105776" cy="4269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9B462DE0-69E9-4FD1-88CE-E7E1CA303263}" type="TxLink">
            <a:rPr lang="en-US" sz="1800" b="0" i="0" u="none" strike="noStrike" baseline="0">
              <a:solidFill>
                <a:schemeClr val="tx1">
                  <a:lumMod val="95000"/>
                  <a:lumOff val="5000"/>
                </a:schemeClr>
              </a:solidFill>
              <a:latin typeface="Aptos Narrow"/>
            </a:rPr>
            <a:pPr/>
            <a:t> $39,310 </a:t>
          </a:fld>
          <a:endParaRPr lang="en-US" sz="3600">
            <a:solidFill>
              <a:schemeClr val="tx1">
                <a:lumMod val="95000"/>
                <a:lumOff val="5000"/>
              </a:schemeClr>
            </a:solidFill>
          </a:endParaRPr>
        </a:p>
      </xdr:txBody>
    </xdr:sp>
    <xdr:clientData/>
  </xdr:oneCellAnchor>
  <xdr:oneCellAnchor>
    <xdr:from>
      <xdr:col>6</xdr:col>
      <xdr:colOff>77925</xdr:colOff>
      <xdr:row>31</xdr:row>
      <xdr:rowOff>143937</xdr:rowOff>
    </xdr:from>
    <xdr:ext cx="1105776" cy="426983"/>
    <xdr:sp macro="" textlink="pivot!F15">
      <xdr:nvSpPr>
        <xdr:cNvPr id="103" name="TextBox 102">
          <a:extLst>
            <a:ext uri="{FF2B5EF4-FFF2-40B4-BE49-F238E27FC236}">
              <a16:creationId xmlns:a16="http://schemas.microsoft.com/office/drawing/2014/main" id="{1608D49A-B316-BE9D-5E2B-E75D7338EA91}"/>
            </a:ext>
          </a:extLst>
        </xdr:cNvPr>
        <xdr:cNvSpPr txBox="1"/>
      </xdr:nvSpPr>
      <xdr:spPr>
        <a:xfrm>
          <a:off x="3645131" y="6764746"/>
          <a:ext cx="1105776" cy="4269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117B03FE-C49F-4409-9489-06CE6B201E65}" type="TxLink">
            <a:rPr lang="en-US" sz="1800" b="0" i="0" u="none" strike="noStrike" baseline="0">
              <a:solidFill>
                <a:schemeClr val="tx1">
                  <a:lumMod val="95000"/>
                  <a:lumOff val="5000"/>
                </a:schemeClr>
              </a:solidFill>
              <a:latin typeface="Aptos Narrow"/>
            </a:rPr>
            <a:pPr/>
            <a:t> $51,360 </a:t>
          </a:fld>
          <a:endParaRPr lang="en-US" sz="3600">
            <a:solidFill>
              <a:schemeClr val="tx1">
                <a:lumMod val="95000"/>
                <a:lumOff val="5000"/>
              </a:schemeClr>
            </a:solidFill>
          </a:endParaRPr>
        </a:p>
      </xdr:txBody>
    </xdr:sp>
    <xdr:clientData/>
  </xdr:oneCellAnchor>
  <xdr:oneCellAnchor>
    <xdr:from>
      <xdr:col>6</xdr:col>
      <xdr:colOff>66977</xdr:colOff>
      <xdr:row>34</xdr:row>
      <xdr:rowOff>132988</xdr:rowOff>
    </xdr:from>
    <xdr:ext cx="1105776" cy="426983"/>
    <xdr:sp macro="" textlink="pivot!F16">
      <xdr:nvSpPr>
        <xdr:cNvPr id="104" name="TextBox 103">
          <a:extLst>
            <a:ext uri="{FF2B5EF4-FFF2-40B4-BE49-F238E27FC236}">
              <a16:creationId xmlns:a16="http://schemas.microsoft.com/office/drawing/2014/main" id="{D4CDB890-BED9-37C3-5A84-DCD7169AB2CF}"/>
            </a:ext>
          </a:extLst>
        </xdr:cNvPr>
        <xdr:cNvSpPr txBox="1"/>
      </xdr:nvSpPr>
      <xdr:spPr>
        <a:xfrm>
          <a:off x="3634183" y="7314091"/>
          <a:ext cx="1105776" cy="4269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DA58541-F0B1-49A1-9FBE-A7A1F0FB2DF1}" type="TxLink">
            <a:rPr lang="en-US" sz="1800" b="0" i="0" u="none" strike="noStrike" baseline="0">
              <a:solidFill>
                <a:schemeClr val="tx1">
                  <a:lumMod val="95000"/>
                  <a:lumOff val="5000"/>
                </a:schemeClr>
              </a:solidFill>
              <a:latin typeface="Aptos Narrow"/>
            </a:rPr>
            <a:pPr/>
            <a:t> $61,905 </a:t>
          </a:fld>
          <a:endParaRPr lang="en-US" sz="3600">
            <a:solidFill>
              <a:schemeClr val="tx1">
                <a:lumMod val="95000"/>
                <a:lumOff val="5000"/>
              </a:schemeClr>
            </a:solidFill>
          </a:endParaRPr>
        </a:p>
      </xdr:txBody>
    </xdr:sp>
    <xdr:clientData/>
  </xdr:oneCellAnchor>
  <xdr:twoCellAnchor>
    <xdr:from>
      <xdr:col>7</xdr:col>
      <xdr:colOff>558362</xdr:colOff>
      <xdr:row>11</xdr:row>
      <xdr:rowOff>175172</xdr:rowOff>
    </xdr:from>
    <xdr:to>
      <xdr:col>13</xdr:col>
      <xdr:colOff>229914</xdr:colOff>
      <xdr:row>23</xdr:row>
      <xdr:rowOff>87586</xdr:rowOff>
    </xdr:to>
    <xdr:sp macro="" textlink="">
      <xdr:nvSpPr>
        <xdr:cNvPr id="105" name="Rectangle: Rounded Corners 104">
          <a:extLst>
            <a:ext uri="{FF2B5EF4-FFF2-40B4-BE49-F238E27FC236}">
              <a16:creationId xmlns:a16="http://schemas.microsoft.com/office/drawing/2014/main" id="{43CCB61D-0F14-4A83-ADDF-7D7A6432AA30}"/>
            </a:ext>
          </a:extLst>
        </xdr:cNvPr>
        <xdr:cNvSpPr/>
      </xdr:nvSpPr>
      <xdr:spPr>
        <a:xfrm>
          <a:off x="4773448" y="3054569"/>
          <a:ext cx="3350173" cy="2145862"/>
        </a:xfrm>
        <a:prstGeom prst="roundRect">
          <a:avLst>
            <a:gd name="adj" fmla="val 3911"/>
          </a:avLst>
        </a:prstGeom>
        <a:noFill/>
        <a:ln w="127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569311</xdr:colOff>
      <xdr:row>13</xdr:row>
      <xdr:rowOff>120432</xdr:rowOff>
    </xdr:from>
    <xdr:to>
      <xdr:col>13</xdr:col>
      <xdr:colOff>197069</xdr:colOff>
      <xdr:row>23</xdr:row>
      <xdr:rowOff>10949</xdr:rowOff>
    </xdr:to>
    <xdr:graphicFrame macro="">
      <xdr:nvGraphicFramePr>
        <xdr:cNvPr id="106" name="Chart 105">
          <a:extLst>
            <a:ext uri="{FF2B5EF4-FFF2-40B4-BE49-F238E27FC236}">
              <a16:creationId xmlns:a16="http://schemas.microsoft.com/office/drawing/2014/main" id="{8DD9B60F-2AD4-4D60-BB27-549903013A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7</xdr:col>
      <xdr:colOff>606752</xdr:colOff>
      <xdr:row>12</xdr:row>
      <xdr:rowOff>10950</xdr:rowOff>
    </xdr:from>
    <xdr:ext cx="1856610" cy="405086"/>
    <xdr:sp macro="" textlink="pivot!F17">
      <xdr:nvSpPr>
        <xdr:cNvPr id="107" name="TextBox 106">
          <a:extLst>
            <a:ext uri="{FF2B5EF4-FFF2-40B4-BE49-F238E27FC236}">
              <a16:creationId xmlns:a16="http://schemas.microsoft.com/office/drawing/2014/main" id="{691D06FF-B93E-8770-E8E9-EE1D2E9EB230}"/>
            </a:ext>
          </a:extLst>
        </xdr:cNvPr>
        <xdr:cNvSpPr txBox="1"/>
      </xdr:nvSpPr>
      <xdr:spPr>
        <a:xfrm>
          <a:off x="4821838" y="3076467"/>
          <a:ext cx="1856610" cy="4050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i="0" u="none" strike="noStrike">
              <a:solidFill>
                <a:srgbClr val="000000"/>
              </a:solidFill>
              <a:latin typeface="Aptos Narrow"/>
            </a:rPr>
            <a:t>Sales</a:t>
          </a:r>
          <a:r>
            <a:rPr lang="en-US" sz="1800" b="1" i="0" u="none" strike="noStrike" baseline="0">
              <a:solidFill>
                <a:srgbClr val="000000"/>
              </a:solidFill>
              <a:latin typeface="Aptos Narrow"/>
            </a:rPr>
            <a:t>  by Regions</a:t>
          </a:r>
        </a:p>
        <a:p>
          <a:endParaRPr lang="en-US" sz="1800" b="1" i="0" u="none" strike="noStrike">
            <a:solidFill>
              <a:srgbClr val="000000"/>
            </a:solidFill>
            <a:latin typeface="Aptos Narrow"/>
          </a:endParaRPr>
        </a:p>
      </xdr:txBody>
    </xdr:sp>
    <xdr:clientData/>
  </xdr:oneCellAnchor>
  <xdr:twoCellAnchor>
    <xdr:from>
      <xdr:col>13</xdr:col>
      <xdr:colOff>350347</xdr:colOff>
      <xdr:row>11</xdr:row>
      <xdr:rowOff>175172</xdr:rowOff>
    </xdr:from>
    <xdr:to>
      <xdr:col>18</xdr:col>
      <xdr:colOff>531327</xdr:colOff>
      <xdr:row>23</xdr:row>
      <xdr:rowOff>25918</xdr:rowOff>
    </xdr:to>
    <xdr:sp macro="" textlink="">
      <xdr:nvSpPr>
        <xdr:cNvPr id="108" name="Rectangle: Rounded Corners 107">
          <a:extLst>
            <a:ext uri="{FF2B5EF4-FFF2-40B4-BE49-F238E27FC236}">
              <a16:creationId xmlns:a16="http://schemas.microsoft.com/office/drawing/2014/main" id="{399CDC8F-E296-49F1-9328-F349CC063C47}"/>
            </a:ext>
          </a:extLst>
        </xdr:cNvPr>
        <xdr:cNvSpPr/>
      </xdr:nvSpPr>
      <xdr:spPr>
        <a:xfrm>
          <a:off x="8190653" y="3013233"/>
          <a:ext cx="3226388" cy="2027889"/>
        </a:xfrm>
        <a:prstGeom prst="roundRect">
          <a:avLst>
            <a:gd name="adj" fmla="val 3408"/>
          </a:avLst>
        </a:prstGeom>
        <a:noFill/>
        <a:ln w="127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13</xdr:col>
      <xdr:colOff>405085</xdr:colOff>
      <xdr:row>12</xdr:row>
      <xdr:rowOff>10948</xdr:rowOff>
    </xdr:from>
    <xdr:ext cx="2813707" cy="711638"/>
    <xdr:sp macro="" textlink="pivot!F17">
      <xdr:nvSpPr>
        <xdr:cNvPr id="109" name="TextBox 108">
          <a:extLst>
            <a:ext uri="{FF2B5EF4-FFF2-40B4-BE49-F238E27FC236}">
              <a16:creationId xmlns:a16="http://schemas.microsoft.com/office/drawing/2014/main" id="{2A09E1F7-6D60-7E0A-4371-FF6496A3FBD9}"/>
            </a:ext>
          </a:extLst>
        </xdr:cNvPr>
        <xdr:cNvSpPr txBox="1"/>
      </xdr:nvSpPr>
      <xdr:spPr>
        <a:xfrm>
          <a:off x="8298792" y="3076465"/>
          <a:ext cx="2813707" cy="7116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i="0" u="none" strike="noStrike" baseline="0">
              <a:solidFill>
                <a:srgbClr val="000000"/>
              </a:solidFill>
              <a:latin typeface="Aptos Narrow"/>
            </a:rPr>
            <a:t>Ranking for Regions Managers</a:t>
          </a:r>
        </a:p>
        <a:p>
          <a:endParaRPr lang="en-US" sz="1800" b="1" i="0" u="none" strike="noStrike">
            <a:solidFill>
              <a:srgbClr val="000000"/>
            </a:solidFill>
            <a:latin typeface="Aptos Narrow"/>
          </a:endParaRPr>
        </a:p>
      </xdr:txBody>
    </xdr:sp>
    <xdr:clientData/>
  </xdr:oneCellAnchor>
  <xdr:oneCellAnchor>
    <xdr:from>
      <xdr:col>14</xdr:col>
      <xdr:colOff>175172</xdr:colOff>
      <xdr:row>15</xdr:row>
      <xdr:rowOff>21897</xdr:rowOff>
    </xdr:from>
    <xdr:ext cx="1335689" cy="350345"/>
    <xdr:sp macro="" textlink="pivot!K5">
      <xdr:nvSpPr>
        <xdr:cNvPr id="110" name="TextBox 109">
          <a:extLst>
            <a:ext uri="{FF2B5EF4-FFF2-40B4-BE49-F238E27FC236}">
              <a16:creationId xmlns:a16="http://schemas.microsoft.com/office/drawing/2014/main" id="{9594DBB9-735C-8747-4EB3-605D0BB84B8D}"/>
            </a:ext>
          </a:extLst>
        </xdr:cNvPr>
        <xdr:cNvSpPr txBox="1"/>
      </xdr:nvSpPr>
      <xdr:spPr>
        <a:xfrm>
          <a:off x="8681982" y="3645776"/>
          <a:ext cx="1335689" cy="3503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AE9C821-ABFD-4873-9F2E-36B4DE44FE8E}" type="TxLink">
            <a:rPr lang="en-US" sz="1800" b="0" i="0" u="none" strike="noStrike" baseline="0">
              <a:solidFill>
                <a:srgbClr val="000000"/>
              </a:solidFill>
              <a:latin typeface="Aptos Narrow"/>
            </a:rPr>
            <a:pPr/>
            <a:t>Tom Brown</a:t>
          </a:fld>
          <a:endParaRPr lang="en-US" sz="1800">
            <a:solidFill>
              <a:schemeClr val="tx1">
                <a:lumMod val="95000"/>
                <a:lumOff val="5000"/>
              </a:schemeClr>
            </a:solidFill>
          </a:endParaRPr>
        </a:p>
      </xdr:txBody>
    </xdr:sp>
    <xdr:clientData/>
  </xdr:oneCellAnchor>
  <xdr:oneCellAnchor>
    <xdr:from>
      <xdr:col>14</xdr:col>
      <xdr:colOff>164223</xdr:colOff>
      <xdr:row>17</xdr:row>
      <xdr:rowOff>10949</xdr:rowOff>
    </xdr:from>
    <xdr:ext cx="1543707" cy="328447"/>
    <xdr:sp macro="" textlink="pivot!K6">
      <xdr:nvSpPr>
        <xdr:cNvPr id="111" name="TextBox 110">
          <a:extLst>
            <a:ext uri="{FF2B5EF4-FFF2-40B4-BE49-F238E27FC236}">
              <a16:creationId xmlns:a16="http://schemas.microsoft.com/office/drawing/2014/main" id="{20FB3CF3-C447-1FCE-B7DE-D5E47A941DBE}"/>
            </a:ext>
          </a:extLst>
        </xdr:cNvPr>
        <xdr:cNvSpPr txBox="1"/>
      </xdr:nvSpPr>
      <xdr:spPr>
        <a:xfrm>
          <a:off x="8671033" y="4007070"/>
          <a:ext cx="1543707" cy="3284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B88D961-21DA-42A2-93F6-2F27F90CDA0D}" type="TxLink">
            <a:rPr lang="en-US" sz="1800" b="0" i="0" u="none" strike="noStrike" baseline="0">
              <a:solidFill>
                <a:srgbClr val="000000"/>
              </a:solidFill>
              <a:latin typeface="Aptos Narrow"/>
            </a:rPr>
            <a:pPr/>
            <a:t>Sarah Johnson</a:t>
          </a:fld>
          <a:endParaRPr lang="en-US" sz="1800">
            <a:solidFill>
              <a:schemeClr val="tx1">
                <a:lumMod val="95000"/>
                <a:lumOff val="5000"/>
              </a:schemeClr>
            </a:solidFill>
          </a:endParaRPr>
        </a:p>
      </xdr:txBody>
    </xdr:sp>
    <xdr:clientData/>
  </xdr:oneCellAnchor>
  <xdr:oneCellAnchor>
    <xdr:from>
      <xdr:col>14</xdr:col>
      <xdr:colOff>186120</xdr:colOff>
      <xdr:row>18</xdr:row>
      <xdr:rowOff>175175</xdr:rowOff>
    </xdr:from>
    <xdr:ext cx="1379483" cy="350344"/>
    <xdr:sp macro="" textlink="pivot!K7">
      <xdr:nvSpPr>
        <xdr:cNvPr id="112" name="TextBox 111">
          <a:extLst>
            <a:ext uri="{FF2B5EF4-FFF2-40B4-BE49-F238E27FC236}">
              <a16:creationId xmlns:a16="http://schemas.microsoft.com/office/drawing/2014/main" id="{516D147D-08A3-8F75-4FA6-130D5CB534FF}"/>
            </a:ext>
          </a:extLst>
        </xdr:cNvPr>
        <xdr:cNvSpPr txBox="1"/>
      </xdr:nvSpPr>
      <xdr:spPr>
        <a:xfrm>
          <a:off x="8692930" y="4357416"/>
          <a:ext cx="1379483" cy="3503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FA7958B9-52C6-4960-A45B-745B53A4D1D0}" type="TxLink">
            <a:rPr lang="en-US" sz="1800" b="0" i="0" u="none" strike="noStrike" baseline="0">
              <a:solidFill>
                <a:srgbClr val="000000"/>
              </a:solidFill>
              <a:latin typeface="Aptos Narrow"/>
            </a:rPr>
            <a:pPr/>
            <a:t>Lisa White</a:t>
          </a:fld>
          <a:endParaRPr lang="en-US" sz="1800">
            <a:solidFill>
              <a:schemeClr val="tx1">
                <a:lumMod val="95000"/>
                <a:lumOff val="5000"/>
              </a:schemeClr>
            </a:solidFill>
          </a:endParaRPr>
        </a:p>
      </xdr:txBody>
    </xdr:sp>
    <xdr:clientData/>
  </xdr:oneCellAnchor>
  <xdr:oneCellAnchor>
    <xdr:from>
      <xdr:col>14</xdr:col>
      <xdr:colOff>175173</xdr:colOff>
      <xdr:row>20</xdr:row>
      <xdr:rowOff>175173</xdr:rowOff>
    </xdr:from>
    <xdr:ext cx="1291895" cy="317499"/>
    <xdr:sp macro="" textlink="pivot!K8">
      <xdr:nvSpPr>
        <xdr:cNvPr id="113" name="TextBox 112">
          <a:extLst>
            <a:ext uri="{FF2B5EF4-FFF2-40B4-BE49-F238E27FC236}">
              <a16:creationId xmlns:a16="http://schemas.microsoft.com/office/drawing/2014/main" id="{6C9987FE-81C3-56A6-21B0-464D44BCBECC}"/>
            </a:ext>
          </a:extLst>
        </xdr:cNvPr>
        <xdr:cNvSpPr txBox="1"/>
      </xdr:nvSpPr>
      <xdr:spPr>
        <a:xfrm>
          <a:off x="8681983" y="4729656"/>
          <a:ext cx="1291895" cy="3174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F27D54D2-ABD4-4DF2-A3A7-8EE4A5445C5B}" type="TxLink">
            <a:rPr lang="en-US" sz="1800" b="0" i="0" u="none" strike="noStrike" baseline="0">
              <a:solidFill>
                <a:srgbClr val="000000"/>
              </a:solidFill>
              <a:latin typeface="Aptos Narrow"/>
            </a:rPr>
            <a:pPr/>
            <a:t>Mark Davis</a:t>
          </a:fld>
          <a:endParaRPr lang="en-US" sz="1800">
            <a:solidFill>
              <a:schemeClr val="tx1">
                <a:lumMod val="95000"/>
                <a:lumOff val="5000"/>
              </a:schemeClr>
            </a:solidFill>
          </a:endParaRPr>
        </a:p>
      </xdr:txBody>
    </xdr:sp>
    <xdr:clientData/>
  </xdr:oneCellAnchor>
  <xdr:oneCellAnchor>
    <xdr:from>
      <xdr:col>16</xdr:col>
      <xdr:colOff>470778</xdr:colOff>
      <xdr:row>15</xdr:row>
      <xdr:rowOff>10948</xdr:rowOff>
    </xdr:from>
    <xdr:ext cx="1105776" cy="426983"/>
    <xdr:sp macro="" textlink="pivot!L11">
      <xdr:nvSpPr>
        <xdr:cNvPr id="114" name="TextBox 113">
          <a:extLst>
            <a:ext uri="{FF2B5EF4-FFF2-40B4-BE49-F238E27FC236}">
              <a16:creationId xmlns:a16="http://schemas.microsoft.com/office/drawing/2014/main" id="{43A2A5B2-A8F7-0C85-2199-AAD10777517D}"/>
            </a:ext>
          </a:extLst>
        </xdr:cNvPr>
        <xdr:cNvSpPr txBox="1"/>
      </xdr:nvSpPr>
      <xdr:spPr>
        <a:xfrm>
          <a:off x="10203795" y="3634827"/>
          <a:ext cx="1105776" cy="4269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0AE6DBE8-5ECE-4D58-8C0F-A19473EA0F20}" type="TxLink">
            <a:rPr lang="en-US" sz="1800" b="0" i="0" u="none" strike="noStrike" baseline="0">
              <a:solidFill>
                <a:srgbClr val="000000"/>
              </a:solidFill>
              <a:latin typeface="Aptos Narrow"/>
            </a:rPr>
            <a:pPr/>
            <a:t> $64,551 </a:t>
          </a:fld>
          <a:endParaRPr lang="en-US" sz="1800">
            <a:solidFill>
              <a:schemeClr val="tx1">
                <a:lumMod val="95000"/>
                <a:lumOff val="5000"/>
              </a:schemeClr>
            </a:solidFill>
          </a:endParaRPr>
        </a:p>
      </xdr:txBody>
    </xdr:sp>
    <xdr:clientData/>
  </xdr:oneCellAnchor>
  <xdr:oneCellAnchor>
    <xdr:from>
      <xdr:col>16</xdr:col>
      <xdr:colOff>481725</xdr:colOff>
      <xdr:row>17</xdr:row>
      <xdr:rowOff>10947</xdr:rowOff>
    </xdr:from>
    <xdr:ext cx="1105776" cy="426983"/>
    <xdr:sp macro="" textlink="pivot!L12">
      <xdr:nvSpPr>
        <xdr:cNvPr id="115" name="TextBox 114">
          <a:extLst>
            <a:ext uri="{FF2B5EF4-FFF2-40B4-BE49-F238E27FC236}">
              <a16:creationId xmlns:a16="http://schemas.microsoft.com/office/drawing/2014/main" id="{430D14B6-52F9-8619-8FEA-A4A04DEA5200}"/>
            </a:ext>
          </a:extLst>
        </xdr:cNvPr>
        <xdr:cNvSpPr txBox="1"/>
      </xdr:nvSpPr>
      <xdr:spPr>
        <a:xfrm>
          <a:off x="10214742" y="4007068"/>
          <a:ext cx="1105776" cy="4269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F62EF05A-E848-406E-B962-5FC0BBCE978B}" type="TxLink">
            <a:rPr lang="en-US" sz="1800" b="0" i="0" u="none" strike="noStrike">
              <a:solidFill>
                <a:srgbClr val="000000"/>
              </a:solidFill>
              <a:latin typeface="Aptos Narrow"/>
            </a:rPr>
            <a:pPr/>
            <a:t> $52,442 </a:t>
          </a:fld>
          <a:endParaRPr lang="en-US" sz="1800">
            <a:solidFill>
              <a:schemeClr val="tx1">
                <a:lumMod val="95000"/>
                <a:lumOff val="5000"/>
              </a:schemeClr>
            </a:solidFill>
          </a:endParaRPr>
        </a:p>
      </xdr:txBody>
    </xdr:sp>
    <xdr:clientData/>
  </xdr:oneCellAnchor>
  <xdr:oneCellAnchor>
    <xdr:from>
      <xdr:col>16</xdr:col>
      <xdr:colOff>481726</xdr:colOff>
      <xdr:row>18</xdr:row>
      <xdr:rowOff>186120</xdr:rowOff>
    </xdr:from>
    <xdr:ext cx="1105776" cy="426983"/>
    <xdr:sp macro="" textlink="pivot!L13">
      <xdr:nvSpPr>
        <xdr:cNvPr id="116" name="TextBox 115">
          <a:extLst>
            <a:ext uri="{FF2B5EF4-FFF2-40B4-BE49-F238E27FC236}">
              <a16:creationId xmlns:a16="http://schemas.microsoft.com/office/drawing/2014/main" id="{F7D36A4B-E77E-9E15-A6F7-35FA042397B7}"/>
            </a:ext>
          </a:extLst>
        </xdr:cNvPr>
        <xdr:cNvSpPr txBox="1"/>
      </xdr:nvSpPr>
      <xdr:spPr>
        <a:xfrm>
          <a:off x="10214743" y="4368361"/>
          <a:ext cx="1105776" cy="4269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5A61C6DD-3D46-4BBD-A334-76C9BFD7D151}" type="TxLink">
            <a:rPr lang="en-US" sz="1800" b="0" i="0" u="none" strike="noStrike">
              <a:solidFill>
                <a:srgbClr val="000000"/>
              </a:solidFill>
              <a:latin typeface="Aptos Narrow"/>
            </a:rPr>
            <a:pPr/>
            <a:t> $48,099 </a:t>
          </a:fld>
          <a:endParaRPr lang="en-US" sz="1800">
            <a:solidFill>
              <a:schemeClr val="tx1">
                <a:lumMod val="95000"/>
                <a:lumOff val="5000"/>
              </a:schemeClr>
            </a:solidFill>
          </a:endParaRPr>
        </a:p>
      </xdr:txBody>
    </xdr:sp>
    <xdr:clientData/>
  </xdr:oneCellAnchor>
  <xdr:oneCellAnchor>
    <xdr:from>
      <xdr:col>16</xdr:col>
      <xdr:colOff>481726</xdr:colOff>
      <xdr:row>20</xdr:row>
      <xdr:rowOff>186119</xdr:rowOff>
    </xdr:from>
    <xdr:ext cx="1105776" cy="426983"/>
    <xdr:sp macro="" textlink="pivot!L14">
      <xdr:nvSpPr>
        <xdr:cNvPr id="117" name="TextBox 116">
          <a:extLst>
            <a:ext uri="{FF2B5EF4-FFF2-40B4-BE49-F238E27FC236}">
              <a16:creationId xmlns:a16="http://schemas.microsoft.com/office/drawing/2014/main" id="{754EB514-ED99-5B25-9E70-0ADCC26B7B44}"/>
            </a:ext>
          </a:extLst>
        </xdr:cNvPr>
        <xdr:cNvSpPr txBox="1"/>
      </xdr:nvSpPr>
      <xdr:spPr>
        <a:xfrm>
          <a:off x="10214743" y="4740602"/>
          <a:ext cx="1105776" cy="4269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6EE65EC9-64C3-4319-AE11-D73A10B0FE2B}" type="TxLink">
            <a:rPr lang="en-US" sz="1800" b="0" i="0" u="none" strike="noStrike">
              <a:solidFill>
                <a:srgbClr val="000000"/>
              </a:solidFill>
              <a:latin typeface="Aptos Narrow"/>
            </a:rPr>
            <a:pPr/>
            <a:t> $43,680 </a:t>
          </a:fld>
          <a:endParaRPr lang="en-US" sz="1800">
            <a:solidFill>
              <a:schemeClr val="tx1">
                <a:lumMod val="95000"/>
                <a:lumOff val="5000"/>
              </a:schemeClr>
            </a:solidFill>
          </a:endParaRPr>
        </a:p>
      </xdr:txBody>
    </xdr:sp>
    <xdr:clientData/>
  </xdr:oneCellAnchor>
  <xdr:oneCellAnchor>
    <xdr:from>
      <xdr:col>4</xdr:col>
      <xdr:colOff>107548</xdr:colOff>
      <xdr:row>22</xdr:row>
      <xdr:rowOff>108356</xdr:rowOff>
    </xdr:from>
    <xdr:ext cx="1105776" cy="426983"/>
    <xdr:sp macro="" textlink="pivot!C15">
      <xdr:nvSpPr>
        <xdr:cNvPr id="118" name="TextBox 117">
          <a:extLst>
            <a:ext uri="{FF2B5EF4-FFF2-40B4-BE49-F238E27FC236}">
              <a16:creationId xmlns:a16="http://schemas.microsoft.com/office/drawing/2014/main" id="{E3A9D6CE-E3A9-8201-F344-D71205465761}"/>
            </a:ext>
          </a:extLst>
        </xdr:cNvPr>
        <xdr:cNvSpPr txBox="1"/>
      </xdr:nvSpPr>
      <xdr:spPr>
        <a:xfrm>
          <a:off x="2460783" y="5048282"/>
          <a:ext cx="1105776" cy="4269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0" i="0" u="none" strike="noStrike">
              <a:solidFill>
                <a:schemeClr val="tx1"/>
              </a:solidFill>
              <a:effectLst/>
              <a:latin typeface="+mn-lt"/>
              <a:ea typeface="+mn-ea"/>
              <a:cs typeface="+mn-cs"/>
            </a:rPr>
            <a:t>Beauty</a:t>
          </a:r>
          <a:r>
            <a:rPr lang="en-US" sz="2000"/>
            <a:t> </a:t>
          </a:r>
          <a:endParaRPr lang="en-US" sz="2000" baseline="0">
            <a:solidFill>
              <a:schemeClr val="tx1">
                <a:lumMod val="95000"/>
                <a:lumOff val="5000"/>
              </a:schemeClr>
            </a:solidFill>
          </a:endParaRPr>
        </a:p>
        <a:p>
          <a:endParaRPr lang="en-US" sz="2000">
            <a:solidFill>
              <a:schemeClr val="tx1">
                <a:lumMod val="95000"/>
                <a:lumOff val="5000"/>
              </a:schemeClr>
            </a:solidFill>
          </a:endParaRPr>
        </a:p>
      </xdr:txBody>
    </xdr:sp>
    <xdr:clientData/>
  </xdr:oneCellAnchor>
  <xdr:twoCellAnchor>
    <xdr:from>
      <xdr:col>13</xdr:col>
      <xdr:colOff>448879</xdr:colOff>
      <xdr:row>15</xdr:row>
      <xdr:rowOff>120432</xdr:rowOff>
    </xdr:from>
    <xdr:to>
      <xdr:col>14</xdr:col>
      <xdr:colOff>43793</xdr:colOff>
      <xdr:row>16</xdr:row>
      <xdr:rowOff>142328</xdr:rowOff>
    </xdr:to>
    <xdr:sp macro="" textlink="">
      <xdr:nvSpPr>
        <xdr:cNvPr id="119" name="Flowchart: Connector 118">
          <a:extLst>
            <a:ext uri="{FF2B5EF4-FFF2-40B4-BE49-F238E27FC236}">
              <a16:creationId xmlns:a16="http://schemas.microsoft.com/office/drawing/2014/main" id="{B675BE6D-B8A4-ABFA-68B0-92FF4F4928F1}"/>
            </a:ext>
          </a:extLst>
        </xdr:cNvPr>
        <xdr:cNvSpPr/>
      </xdr:nvSpPr>
      <xdr:spPr>
        <a:xfrm>
          <a:off x="8254494" y="3744817"/>
          <a:ext cx="200607" cy="207511"/>
        </a:xfrm>
        <a:prstGeom prst="flowChartConnector">
          <a:avLst/>
        </a:prstGeom>
        <a:solidFill>
          <a:srgbClr val="85998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1</a:t>
          </a:r>
        </a:p>
      </xdr:txBody>
    </xdr:sp>
    <xdr:clientData/>
  </xdr:twoCellAnchor>
  <xdr:twoCellAnchor>
    <xdr:from>
      <xdr:col>13</xdr:col>
      <xdr:colOff>448879</xdr:colOff>
      <xdr:row>17</xdr:row>
      <xdr:rowOff>109483</xdr:rowOff>
    </xdr:from>
    <xdr:to>
      <xdr:col>14</xdr:col>
      <xdr:colOff>43793</xdr:colOff>
      <xdr:row>18</xdr:row>
      <xdr:rowOff>153276</xdr:rowOff>
    </xdr:to>
    <xdr:sp macro="" textlink="">
      <xdr:nvSpPr>
        <xdr:cNvPr id="123" name="Flowchart: Connector 122">
          <a:extLst>
            <a:ext uri="{FF2B5EF4-FFF2-40B4-BE49-F238E27FC236}">
              <a16:creationId xmlns:a16="http://schemas.microsoft.com/office/drawing/2014/main" id="{52811CEB-9070-3C19-995B-9F50EA7A1C18}"/>
            </a:ext>
          </a:extLst>
        </xdr:cNvPr>
        <xdr:cNvSpPr/>
      </xdr:nvSpPr>
      <xdr:spPr>
        <a:xfrm>
          <a:off x="8254494" y="4105098"/>
          <a:ext cx="200607" cy="229409"/>
        </a:xfrm>
        <a:prstGeom prst="flowChartConnector">
          <a:avLst/>
        </a:prstGeom>
        <a:solidFill>
          <a:srgbClr val="85998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2</a:t>
          </a:r>
        </a:p>
      </xdr:txBody>
    </xdr:sp>
    <xdr:clientData/>
  </xdr:twoCellAnchor>
  <xdr:twoCellAnchor>
    <xdr:from>
      <xdr:col>13</xdr:col>
      <xdr:colOff>437932</xdr:colOff>
      <xdr:row>19</xdr:row>
      <xdr:rowOff>87587</xdr:rowOff>
    </xdr:from>
    <xdr:to>
      <xdr:col>14</xdr:col>
      <xdr:colOff>43793</xdr:colOff>
      <xdr:row>20</xdr:row>
      <xdr:rowOff>120431</xdr:rowOff>
    </xdr:to>
    <xdr:sp macro="" textlink="">
      <xdr:nvSpPr>
        <xdr:cNvPr id="124" name="Flowchart: Connector 123">
          <a:extLst>
            <a:ext uri="{FF2B5EF4-FFF2-40B4-BE49-F238E27FC236}">
              <a16:creationId xmlns:a16="http://schemas.microsoft.com/office/drawing/2014/main" id="{A0D069D1-FF18-AD6A-0971-4B8E44AB1126}"/>
            </a:ext>
          </a:extLst>
        </xdr:cNvPr>
        <xdr:cNvSpPr/>
      </xdr:nvSpPr>
      <xdr:spPr>
        <a:xfrm>
          <a:off x="8243547" y="4454433"/>
          <a:ext cx="211554" cy="218460"/>
        </a:xfrm>
        <a:prstGeom prst="flowChartConnector">
          <a:avLst/>
        </a:prstGeom>
        <a:solidFill>
          <a:srgbClr val="85998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3</a:t>
          </a:r>
        </a:p>
      </xdr:txBody>
    </xdr:sp>
    <xdr:clientData/>
  </xdr:twoCellAnchor>
  <xdr:twoCellAnchor>
    <xdr:from>
      <xdr:col>13</xdr:col>
      <xdr:colOff>437931</xdr:colOff>
      <xdr:row>21</xdr:row>
      <xdr:rowOff>54742</xdr:rowOff>
    </xdr:from>
    <xdr:to>
      <xdr:col>14</xdr:col>
      <xdr:colOff>32845</xdr:colOff>
      <xdr:row>22</xdr:row>
      <xdr:rowOff>76638</xdr:rowOff>
    </xdr:to>
    <xdr:sp macro="" textlink="">
      <xdr:nvSpPr>
        <xdr:cNvPr id="125" name="Flowchart: Connector 124">
          <a:extLst>
            <a:ext uri="{FF2B5EF4-FFF2-40B4-BE49-F238E27FC236}">
              <a16:creationId xmlns:a16="http://schemas.microsoft.com/office/drawing/2014/main" id="{558FF9B9-2CEB-93CB-80FB-3BE9B6FD9D10}"/>
            </a:ext>
          </a:extLst>
        </xdr:cNvPr>
        <xdr:cNvSpPr/>
      </xdr:nvSpPr>
      <xdr:spPr>
        <a:xfrm>
          <a:off x="8243546" y="4792819"/>
          <a:ext cx="200607" cy="207511"/>
        </a:xfrm>
        <a:prstGeom prst="flowChartConnector">
          <a:avLst/>
        </a:prstGeom>
        <a:solidFill>
          <a:srgbClr val="85998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4</a:t>
          </a:r>
        </a:p>
      </xdr:txBody>
    </xdr:sp>
    <xdr:clientData/>
  </xdr:twoCellAnchor>
  <xdr:twoCellAnchor>
    <xdr:from>
      <xdr:col>7</xdr:col>
      <xdr:colOff>536465</xdr:colOff>
      <xdr:row>24</xdr:row>
      <xdr:rowOff>-1</xdr:rowOff>
    </xdr:from>
    <xdr:to>
      <xdr:col>15</xdr:col>
      <xdr:colOff>405086</xdr:colOff>
      <xdr:row>37</xdr:row>
      <xdr:rowOff>87586</xdr:rowOff>
    </xdr:to>
    <xdr:sp macro="" textlink="">
      <xdr:nvSpPr>
        <xdr:cNvPr id="126" name="Rectangle: Rounded Corners 125">
          <a:extLst>
            <a:ext uri="{FF2B5EF4-FFF2-40B4-BE49-F238E27FC236}">
              <a16:creationId xmlns:a16="http://schemas.microsoft.com/office/drawing/2014/main" id="{3D77DC45-E7D9-497F-9A18-40D38697CC95}"/>
            </a:ext>
          </a:extLst>
        </xdr:cNvPr>
        <xdr:cNvSpPr/>
      </xdr:nvSpPr>
      <xdr:spPr>
        <a:xfrm>
          <a:off x="4751551" y="5298965"/>
          <a:ext cx="4773449" cy="2507155"/>
        </a:xfrm>
        <a:prstGeom prst="roundRect">
          <a:avLst>
            <a:gd name="adj" fmla="val 3911"/>
          </a:avLst>
        </a:prstGeom>
        <a:noFill/>
        <a:ln w="127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8</xdr:col>
      <xdr:colOff>164222</xdr:colOff>
      <xdr:row>24</xdr:row>
      <xdr:rowOff>109484</xdr:rowOff>
    </xdr:from>
    <xdr:ext cx="2156811" cy="437930"/>
    <xdr:sp macro="" textlink="pivot!F17">
      <xdr:nvSpPr>
        <xdr:cNvPr id="127" name="TextBox 126">
          <a:extLst>
            <a:ext uri="{FF2B5EF4-FFF2-40B4-BE49-F238E27FC236}">
              <a16:creationId xmlns:a16="http://schemas.microsoft.com/office/drawing/2014/main" id="{0038AF90-355F-EA2B-EEB2-FC45DA9DE167}"/>
            </a:ext>
          </a:extLst>
        </xdr:cNvPr>
        <xdr:cNvSpPr txBox="1"/>
      </xdr:nvSpPr>
      <xdr:spPr>
        <a:xfrm>
          <a:off x="4992412" y="5408450"/>
          <a:ext cx="2156811" cy="4379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i="0" u="none" strike="noStrike" baseline="0">
              <a:solidFill>
                <a:srgbClr val="000000"/>
              </a:solidFill>
              <a:latin typeface="Aptos Narrow"/>
            </a:rPr>
            <a:t>Total Sales by Month</a:t>
          </a:r>
        </a:p>
        <a:p>
          <a:endParaRPr lang="en-US" sz="1800" b="1" i="0" u="none" strike="noStrike">
            <a:solidFill>
              <a:srgbClr val="000000"/>
            </a:solidFill>
            <a:latin typeface="Aptos Narrow"/>
          </a:endParaRPr>
        </a:p>
      </xdr:txBody>
    </xdr:sp>
    <xdr:clientData/>
  </xdr:oneCellAnchor>
  <xdr:twoCellAnchor>
    <xdr:from>
      <xdr:col>7</xdr:col>
      <xdr:colOff>569311</xdr:colOff>
      <xdr:row>26</xdr:row>
      <xdr:rowOff>76638</xdr:rowOff>
    </xdr:from>
    <xdr:to>
      <xdr:col>15</xdr:col>
      <xdr:colOff>273707</xdr:colOff>
      <xdr:row>36</xdr:row>
      <xdr:rowOff>142327</xdr:rowOff>
    </xdr:to>
    <xdr:graphicFrame macro="">
      <xdr:nvGraphicFramePr>
        <xdr:cNvPr id="128" name="Chart 127">
          <a:extLst>
            <a:ext uri="{FF2B5EF4-FFF2-40B4-BE49-F238E27FC236}">
              <a16:creationId xmlns:a16="http://schemas.microsoft.com/office/drawing/2014/main" id="{D8B19A43-F6B5-45B6-AB80-E5D259738D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551722</xdr:colOff>
      <xdr:row>24</xdr:row>
      <xdr:rowOff>23962</xdr:rowOff>
    </xdr:from>
    <xdr:to>
      <xdr:col>18</xdr:col>
      <xdr:colOff>518368</xdr:colOff>
      <xdr:row>37</xdr:row>
      <xdr:rowOff>72869</xdr:rowOff>
    </xdr:to>
    <xdr:sp macro="" textlink="">
      <xdr:nvSpPr>
        <xdr:cNvPr id="3" name="Rectangle: Rounded Corners 2">
          <a:extLst>
            <a:ext uri="{FF2B5EF4-FFF2-40B4-BE49-F238E27FC236}">
              <a16:creationId xmlns:a16="http://schemas.microsoft.com/office/drawing/2014/main" id="{F2D74516-3C8A-6C47-A13A-BE038AFD0231}"/>
            </a:ext>
          </a:extLst>
        </xdr:cNvPr>
        <xdr:cNvSpPr/>
      </xdr:nvSpPr>
      <xdr:spPr>
        <a:xfrm>
          <a:off x="9681148" y="5353798"/>
          <a:ext cx="1809187" cy="2484809"/>
        </a:xfrm>
        <a:prstGeom prst="roundRect">
          <a:avLst>
            <a:gd name="adj" fmla="val 6323"/>
          </a:avLst>
        </a:prstGeom>
        <a:noFill/>
        <a:ln w="127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15</xdr:col>
      <xdr:colOff>535637</xdr:colOff>
      <xdr:row>24</xdr:row>
      <xdr:rowOff>37596</xdr:rowOff>
    </xdr:from>
    <xdr:ext cx="914080" cy="741178"/>
    <xdr:sp macro="" textlink="pivot!F17">
      <xdr:nvSpPr>
        <xdr:cNvPr id="6" name="TextBox 5">
          <a:extLst>
            <a:ext uri="{FF2B5EF4-FFF2-40B4-BE49-F238E27FC236}">
              <a16:creationId xmlns:a16="http://schemas.microsoft.com/office/drawing/2014/main" id="{0007884A-73E0-AFEE-631E-346CFBC46018}"/>
            </a:ext>
          </a:extLst>
        </xdr:cNvPr>
        <xdr:cNvSpPr txBox="1"/>
      </xdr:nvSpPr>
      <xdr:spPr>
        <a:xfrm>
          <a:off x="9629316" y="5189483"/>
          <a:ext cx="914080" cy="7411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i="0" u="none" strike="noStrike" baseline="0">
              <a:solidFill>
                <a:srgbClr val="000000"/>
              </a:solidFill>
              <a:latin typeface="Aptos Narrow"/>
            </a:rPr>
            <a:t>Top 4 Sellers</a:t>
          </a:r>
        </a:p>
        <a:p>
          <a:endParaRPr lang="en-US" sz="1800" b="1" i="0" u="none" strike="noStrike" baseline="0">
            <a:solidFill>
              <a:srgbClr val="000000"/>
            </a:solidFill>
            <a:latin typeface="Aptos Narrow"/>
          </a:endParaRPr>
        </a:p>
        <a:p>
          <a:endParaRPr lang="en-US" sz="1800" b="1" i="0" u="none" strike="noStrike">
            <a:solidFill>
              <a:srgbClr val="000000"/>
            </a:solidFill>
            <a:latin typeface="Aptos Narrow"/>
          </a:endParaRPr>
        </a:p>
      </xdr:txBody>
    </xdr:sp>
    <xdr:clientData/>
  </xdr:oneCellAnchor>
  <xdr:oneCellAnchor>
    <xdr:from>
      <xdr:col>16</xdr:col>
      <xdr:colOff>189110</xdr:colOff>
      <xdr:row>30</xdr:row>
      <xdr:rowOff>61998</xdr:rowOff>
    </xdr:from>
    <xdr:ext cx="1335689" cy="350345"/>
    <xdr:sp macro="" textlink="pivot!Q13">
      <xdr:nvSpPr>
        <xdr:cNvPr id="25" name="TextBox 24">
          <a:extLst>
            <a:ext uri="{FF2B5EF4-FFF2-40B4-BE49-F238E27FC236}">
              <a16:creationId xmlns:a16="http://schemas.microsoft.com/office/drawing/2014/main" id="{31A9C8A0-2005-0334-FDF2-467759B94CD4}"/>
            </a:ext>
          </a:extLst>
        </xdr:cNvPr>
        <xdr:cNvSpPr txBox="1"/>
      </xdr:nvSpPr>
      <xdr:spPr>
        <a:xfrm>
          <a:off x="9856661" y="6347202"/>
          <a:ext cx="1335689" cy="3503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92BEEE3E-BE3D-4088-9E6E-58920343D806}" type="TxLink">
            <a:rPr lang="en-US" sz="1600" b="0" i="0" u="none" strike="noStrike" baseline="0">
              <a:solidFill>
                <a:srgbClr val="000000"/>
              </a:solidFill>
              <a:latin typeface="Aptos Narrow"/>
            </a:rPr>
            <a:pPr/>
            <a:t>Alice</a:t>
          </a:fld>
          <a:endParaRPr lang="en-US" sz="2800">
            <a:solidFill>
              <a:schemeClr val="tx1">
                <a:lumMod val="95000"/>
                <a:lumOff val="5000"/>
              </a:schemeClr>
            </a:solidFill>
          </a:endParaRPr>
        </a:p>
      </xdr:txBody>
    </xdr:sp>
    <xdr:clientData/>
  </xdr:oneCellAnchor>
  <xdr:oneCellAnchor>
    <xdr:from>
      <xdr:col>17</xdr:col>
      <xdr:colOff>222843</xdr:colOff>
      <xdr:row>30</xdr:row>
      <xdr:rowOff>75989</xdr:rowOff>
    </xdr:from>
    <xdr:ext cx="1105776" cy="426983"/>
    <xdr:sp macro="" textlink="pivot!R13">
      <xdr:nvSpPr>
        <xdr:cNvPr id="26" name="TextBox 25">
          <a:extLst>
            <a:ext uri="{FF2B5EF4-FFF2-40B4-BE49-F238E27FC236}">
              <a16:creationId xmlns:a16="http://schemas.microsoft.com/office/drawing/2014/main" id="{9EDE7D64-0C4C-2DAB-89D0-2144781D33A2}"/>
            </a:ext>
          </a:extLst>
        </xdr:cNvPr>
        <xdr:cNvSpPr txBox="1"/>
      </xdr:nvSpPr>
      <xdr:spPr>
        <a:xfrm>
          <a:off x="10499476" y="6361193"/>
          <a:ext cx="1105776" cy="4269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3E2EFF22-91AB-48C4-BEA6-F6922E11C5E2}" type="TxLink">
            <a:rPr lang="en-US" sz="1600" b="0" i="0" u="none" strike="noStrike" baseline="0">
              <a:solidFill>
                <a:srgbClr val="000000"/>
              </a:solidFill>
              <a:latin typeface="Aptos Narrow"/>
            </a:rPr>
            <a:pPr/>
            <a:t> $45,223 </a:t>
          </a:fld>
          <a:endParaRPr lang="en-US" sz="2800">
            <a:solidFill>
              <a:schemeClr val="tx1">
                <a:lumMod val="95000"/>
                <a:lumOff val="5000"/>
              </a:schemeClr>
            </a:solidFill>
          </a:endParaRPr>
        </a:p>
      </xdr:txBody>
    </xdr:sp>
    <xdr:clientData/>
  </xdr:oneCellAnchor>
  <xdr:twoCellAnchor>
    <xdr:from>
      <xdr:col>15</xdr:col>
      <xdr:colOff>604635</xdr:colOff>
      <xdr:row>30</xdr:row>
      <xdr:rowOff>148307</xdr:rowOff>
    </xdr:from>
    <xdr:to>
      <xdr:col>16</xdr:col>
      <xdr:colOff>199549</xdr:colOff>
      <xdr:row>31</xdr:row>
      <xdr:rowOff>170203</xdr:rowOff>
    </xdr:to>
    <xdr:sp macro="" textlink="">
      <xdr:nvSpPr>
        <xdr:cNvPr id="27" name="Flowchart: Connector 26">
          <a:extLst>
            <a:ext uri="{FF2B5EF4-FFF2-40B4-BE49-F238E27FC236}">
              <a16:creationId xmlns:a16="http://schemas.microsoft.com/office/drawing/2014/main" id="{D68B1AD6-4038-0277-2FD1-7B492A0D61B1}"/>
            </a:ext>
          </a:extLst>
        </xdr:cNvPr>
        <xdr:cNvSpPr/>
      </xdr:nvSpPr>
      <xdr:spPr>
        <a:xfrm>
          <a:off x="9621635" y="6556922"/>
          <a:ext cx="200606" cy="207512"/>
        </a:xfrm>
        <a:prstGeom prst="flowChartConnector">
          <a:avLst/>
        </a:prstGeom>
        <a:solidFill>
          <a:srgbClr val="85998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2</a:t>
          </a:r>
        </a:p>
      </xdr:txBody>
    </xdr:sp>
    <xdr:clientData/>
  </xdr:twoCellAnchor>
  <xdr:oneCellAnchor>
    <xdr:from>
      <xdr:col>16</xdr:col>
      <xdr:colOff>176152</xdr:colOff>
      <xdr:row>27</xdr:row>
      <xdr:rowOff>175451</xdr:rowOff>
    </xdr:from>
    <xdr:ext cx="1335689" cy="350345"/>
    <xdr:sp macro="" textlink="pivot!Q12">
      <xdr:nvSpPr>
        <xdr:cNvPr id="28" name="TextBox 27">
          <a:extLst>
            <a:ext uri="{FF2B5EF4-FFF2-40B4-BE49-F238E27FC236}">
              <a16:creationId xmlns:a16="http://schemas.microsoft.com/office/drawing/2014/main" id="{A3E5E224-C860-FD21-0371-4DFFD7C4D91A}"/>
            </a:ext>
          </a:extLst>
        </xdr:cNvPr>
        <xdr:cNvSpPr txBox="1"/>
      </xdr:nvSpPr>
      <xdr:spPr>
        <a:xfrm>
          <a:off x="9843703" y="5916369"/>
          <a:ext cx="1335689" cy="3503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B3AE3F54-A8F6-4C71-B491-F7021EA292DA}" type="TxLink">
            <a:rPr lang="en-US" sz="1600" b="0" i="0" u="none" strike="noStrike" baseline="0">
              <a:solidFill>
                <a:srgbClr val="000000"/>
              </a:solidFill>
              <a:latin typeface="Aptos Narrow"/>
            </a:rPr>
            <a:pPr/>
            <a:t>Eve</a:t>
          </a:fld>
          <a:endParaRPr lang="en-US" sz="2800">
            <a:solidFill>
              <a:schemeClr val="tx1">
                <a:lumMod val="95000"/>
                <a:lumOff val="5000"/>
              </a:schemeClr>
            </a:solidFill>
          </a:endParaRPr>
        </a:p>
      </xdr:txBody>
    </xdr:sp>
    <xdr:clientData/>
  </xdr:oneCellAnchor>
  <xdr:oneCellAnchor>
    <xdr:from>
      <xdr:col>17</xdr:col>
      <xdr:colOff>223820</xdr:colOff>
      <xdr:row>27</xdr:row>
      <xdr:rowOff>173550</xdr:rowOff>
    </xdr:from>
    <xdr:ext cx="1105776" cy="426983"/>
    <xdr:sp macro="" textlink="pivot!R12">
      <xdr:nvSpPr>
        <xdr:cNvPr id="29" name="TextBox 28">
          <a:extLst>
            <a:ext uri="{FF2B5EF4-FFF2-40B4-BE49-F238E27FC236}">
              <a16:creationId xmlns:a16="http://schemas.microsoft.com/office/drawing/2014/main" id="{BF229231-24E0-60D2-E348-1DA0BA1C96AB}"/>
            </a:ext>
          </a:extLst>
        </xdr:cNvPr>
        <xdr:cNvSpPr txBox="1"/>
      </xdr:nvSpPr>
      <xdr:spPr>
        <a:xfrm>
          <a:off x="10500453" y="5914468"/>
          <a:ext cx="1105776" cy="4269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D2D2A142-BE16-4716-B86A-61B8BA5BE96B}" type="TxLink">
            <a:rPr lang="en-US" sz="1600" b="0" i="0" u="none" strike="noStrike" baseline="0">
              <a:solidFill>
                <a:srgbClr val="000000"/>
              </a:solidFill>
              <a:latin typeface="Aptos Narrow"/>
            </a:rPr>
            <a:pPr/>
            <a:t> $55,711 </a:t>
          </a:fld>
          <a:endParaRPr lang="en-US" sz="2800">
            <a:solidFill>
              <a:schemeClr val="tx1">
                <a:lumMod val="95000"/>
                <a:lumOff val="5000"/>
              </a:schemeClr>
            </a:solidFill>
          </a:endParaRPr>
        </a:p>
      </xdr:txBody>
    </xdr:sp>
    <xdr:clientData/>
  </xdr:oneCellAnchor>
  <xdr:twoCellAnchor>
    <xdr:from>
      <xdr:col>15</xdr:col>
      <xdr:colOff>604635</xdr:colOff>
      <xdr:row>28</xdr:row>
      <xdr:rowOff>79598</xdr:rowOff>
    </xdr:from>
    <xdr:to>
      <xdr:col>16</xdr:col>
      <xdr:colOff>199549</xdr:colOff>
      <xdr:row>29</xdr:row>
      <xdr:rowOff>101494</xdr:rowOff>
    </xdr:to>
    <xdr:sp macro="" textlink="">
      <xdr:nvSpPr>
        <xdr:cNvPr id="30" name="Flowchart: Connector 29">
          <a:extLst>
            <a:ext uri="{FF2B5EF4-FFF2-40B4-BE49-F238E27FC236}">
              <a16:creationId xmlns:a16="http://schemas.microsoft.com/office/drawing/2014/main" id="{A680774B-E1E3-CBA8-B4A3-78DB4BB51414}"/>
            </a:ext>
          </a:extLst>
        </xdr:cNvPr>
        <xdr:cNvSpPr/>
      </xdr:nvSpPr>
      <xdr:spPr>
        <a:xfrm>
          <a:off x="9621635" y="6116983"/>
          <a:ext cx="200606" cy="207511"/>
        </a:xfrm>
        <a:prstGeom prst="flowChartConnector">
          <a:avLst/>
        </a:prstGeom>
        <a:solidFill>
          <a:srgbClr val="85998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1</a:t>
          </a:r>
        </a:p>
      </xdr:txBody>
    </xdr:sp>
    <xdr:clientData/>
  </xdr:twoCellAnchor>
  <xdr:oneCellAnchor>
    <xdr:from>
      <xdr:col>16</xdr:col>
      <xdr:colOff>189111</xdr:colOff>
      <xdr:row>32</xdr:row>
      <xdr:rowOff>146598</xdr:rowOff>
    </xdr:from>
    <xdr:ext cx="1335689" cy="350345"/>
    <xdr:sp macro="" textlink="pivot!Q14">
      <xdr:nvSpPr>
        <xdr:cNvPr id="49" name="TextBox 48">
          <a:extLst>
            <a:ext uri="{FF2B5EF4-FFF2-40B4-BE49-F238E27FC236}">
              <a16:creationId xmlns:a16="http://schemas.microsoft.com/office/drawing/2014/main" id="{D0DE221C-5962-40B4-3A26-357B0402897B}"/>
            </a:ext>
          </a:extLst>
        </xdr:cNvPr>
        <xdr:cNvSpPr txBox="1"/>
      </xdr:nvSpPr>
      <xdr:spPr>
        <a:xfrm>
          <a:off x="9856662" y="6794659"/>
          <a:ext cx="1335689" cy="3503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D531D1B3-C96D-4F77-8548-93B8BF50B3A2}" type="TxLink">
            <a:rPr lang="en-US" sz="1600" b="0" i="0" u="none" strike="noStrike" baseline="0">
              <a:solidFill>
                <a:srgbClr val="000000"/>
              </a:solidFill>
              <a:latin typeface="Aptos Narrow"/>
            </a:rPr>
            <a:pPr/>
            <a:t>Bob</a:t>
          </a:fld>
          <a:endParaRPr lang="en-US" sz="2800">
            <a:solidFill>
              <a:schemeClr val="tx1">
                <a:lumMod val="95000"/>
                <a:lumOff val="5000"/>
              </a:schemeClr>
            </a:solidFill>
          </a:endParaRPr>
        </a:p>
      </xdr:txBody>
    </xdr:sp>
    <xdr:clientData/>
  </xdr:oneCellAnchor>
  <xdr:oneCellAnchor>
    <xdr:from>
      <xdr:col>17</xdr:col>
      <xdr:colOff>235801</xdr:colOff>
      <xdr:row>32</xdr:row>
      <xdr:rowOff>161568</xdr:rowOff>
    </xdr:from>
    <xdr:ext cx="1105776" cy="426983"/>
    <xdr:sp macro="" textlink="pivot!R14">
      <xdr:nvSpPr>
        <xdr:cNvPr id="50" name="TextBox 49">
          <a:extLst>
            <a:ext uri="{FF2B5EF4-FFF2-40B4-BE49-F238E27FC236}">
              <a16:creationId xmlns:a16="http://schemas.microsoft.com/office/drawing/2014/main" id="{58559D69-36E7-2E26-C642-ED9858729F24}"/>
            </a:ext>
          </a:extLst>
        </xdr:cNvPr>
        <xdr:cNvSpPr txBox="1"/>
      </xdr:nvSpPr>
      <xdr:spPr>
        <a:xfrm>
          <a:off x="10512434" y="6809629"/>
          <a:ext cx="1105776" cy="4269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C897553E-504D-42DF-B151-27E85468BF0B}" type="TxLink">
            <a:rPr lang="en-US" sz="1600" b="0" i="0" u="none" strike="noStrike" baseline="0">
              <a:solidFill>
                <a:srgbClr val="000000"/>
              </a:solidFill>
              <a:latin typeface="Aptos Narrow"/>
            </a:rPr>
            <a:pPr/>
            <a:t> $39,607 </a:t>
          </a:fld>
          <a:endParaRPr lang="en-US" sz="2800">
            <a:solidFill>
              <a:schemeClr val="tx1">
                <a:lumMod val="95000"/>
                <a:lumOff val="5000"/>
              </a:schemeClr>
            </a:solidFill>
          </a:endParaRPr>
        </a:p>
      </xdr:txBody>
    </xdr:sp>
    <xdr:clientData/>
  </xdr:oneCellAnchor>
  <xdr:twoCellAnchor>
    <xdr:from>
      <xdr:col>15</xdr:col>
      <xdr:colOff>604635</xdr:colOff>
      <xdr:row>33</xdr:row>
      <xdr:rowOff>13580</xdr:rowOff>
    </xdr:from>
    <xdr:to>
      <xdr:col>16</xdr:col>
      <xdr:colOff>199549</xdr:colOff>
      <xdr:row>34</xdr:row>
      <xdr:rowOff>35476</xdr:rowOff>
    </xdr:to>
    <xdr:sp macro="" textlink="">
      <xdr:nvSpPr>
        <xdr:cNvPr id="51" name="Flowchart: Connector 50">
          <a:extLst>
            <a:ext uri="{FF2B5EF4-FFF2-40B4-BE49-F238E27FC236}">
              <a16:creationId xmlns:a16="http://schemas.microsoft.com/office/drawing/2014/main" id="{987D7925-C79B-95D3-EC93-B21D80979BD9}"/>
            </a:ext>
          </a:extLst>
        </xdr:cNvPr>
        <xdr:cNvSpPr/>
      </xdr:nvSpPr>
      <xdr:spPr>
        <a:xfrm>
          <a:off x="9621635" y="6979042"/>
          <a:ext cx="200606" cy="207511"/>
        </a:xfrm>
        <a:prstGeom prst="flowChartConnector">
          <a:avLst/>
        </a:prstGeom>
        <a:solidFill>
          <a:srgbClr val="85998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3</a:t>
          </a:r>
        </a:p>
      </xdr:txBody>
    </xdr:sp>
    <xdr:clientData/>
  </xdr:twoCellAnchor>
  <xdr:oneCellAnchor>
    <xdr:from>
      <xdr:col>16</xdr:col>
      <xdr:colOff>187155</xdr:colOff>
      <xdr:row>35</xdr:row>
      <xdr:rowOff>26052</xdr:rowOff>
    </xdr:from>
    <xdr:ext cx="1335689" cy="350345"/>
    <xdr:sp macro="" textlink="pivot!Q15">
      <xdr:nvSpPr>
        <xdr:cNvPr id="57" name="TextBox 56">
          <a:extLst>
            <a:ext uri="{FF2B5EF4-FFF2-40B4-BE49-F238E27FC236}">
              <a16:creationId xmlns:a16="http://schemas.microsoft.com/office/drawing/2014/main" id="{17485AFB-18D4-7355-DE2A-0ABE2FD86A13}"/>
            </a:ext>
          </a:extLst>
        </xdr:cNvPr>
        <xdr:cNvSpPr txBox="1"/>
      </xdr:nvSpPr>
      <xdr:spPr>
        <a:xfrm>
          <a:off x="9854706" y="7218399"/>
          <a:ext cx="1335689" cy="3503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36F4E5F6-E8E6-434F-B5EF-B85C66AC1374}" type="TxLink">
            <a:rPr lang="en-US" sz="1600" b="0" i="0" u="none" strike="noStrike" baseline="0">
              <a:solidFill>
                <a:srgbClr val="000000"/>
              </a:solidFill>
              <a:latin typeface="Aptos Narrow"/>
            </a:rPr>
            <a:pPr/>
            <a:t>Charlie</a:t>
          </a:fld>
          <a:endParaRPr lang="en-US" sz="2800">
            <a:solidFill>
              <a:schemeClr val="tx1">
                <a:lumMod val="95000"/>
                <a:lumOff val="5000"/>
              </a:schemeClr>
            </a:solidFill>
          </a:endParaRPr>
        </a:p>
      </xdr:txBody>
    </xdr:sp>
    <xdr:clientData/>
  </xdr:oneCellAnchor>
  <xdr:oneCellAnchor>
    <xdr:from>
      <xdr:col>17</xdr:col>
      <xdr:colOff>222842</xdr:colOff>
      <xdr:row>35</xdr:row>
      <xdr:rowOff>15103</xdr:rowOff>
    </xdr:from>
    <xdr:ext cx="1105776" cy="426983"/>
    <xdr:sp macro="" textlink="pivot!R15">
      <xdr:nvSpPr>
        <xdr:cNvPr id="59" name="TextBox 58">
          <a:extLst>
            <a:ext uri="{FF2B5EF4-FFF2-40B4-BE49-F238E27FC236}">
              <a16:creationId xmlns:a16="http://schemas.microsoft.com/office/drawing/2014/main" id="{B97DFFB8-38BF-BABF-8D0B-D1523348CC85}"/>
            </a:ext>
          </a:extLst>
        </xdr:cNvPr>
        <xdr:cNvSpPr txBox="1"/>
      </xdr:nvSpPr>
      <xdr:spPr>
        <a:xfrm>
          <a:off x="10499475" y="7207450"/>
          <a:ext cx="1105776" cy="4269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620BDCB0-D42D-4F8A-966D-EAF13B8D264D}" type="TxLink">
            <a:rPr lang="en-US" sz="1600" b="0" i="0" u="none" strike="noStrike" baseline="0">
              <a:solidFill>
                <a:srgbClr val="000000"/>
              </a:solidFill>
              <a:latin typeface="Aptos Narrow"/>
            </a:rPr>
            <a:pPr/>
            <a:t> $35,077 </a:t>
          </a:fld>
          <a:endParaRPr lang="en-US" sz="2800">
            <a:solidFill>
              <a:schemeClr val="tx1">
                <a:lumMod val="95000"/>
                <a:lumOff val="5000"/>
              </a:schemeClr>
            </a:solidFill>
          </a:endParaRPr>
        </a:p>
      </xdr:txBody>
    </xdr:sp>
    <xdr:clientData/>
  </xdr:oneCellAnchor>
  <xdr:twoCellAnchor>
    <xdr:from>
      <xdr:col>15</xdr:col>
      <xdr:colOff>604635</xdr:colOff>
      <xdr:row>35</xdr:row>
      <xdr:rowOff>87421</xdr:rowOff>
    </xdr:from>
    <xdr:to>
      <xdr:col>16</xdr:col>
      <xdr:colOff>199549</xdr:colOff>
      <xdr:row>36</xdr:row>
      <xdr:rowOff>109317</xdr:rowOff>
    </xdr:to>
    <xdr:sp macro="" textlink="">
      <xdr:nvSpPr>
        <xdr:cNvPr id="60" name="Flowchart: Connector 59">
          <a:extLst>
            <a:ext uri="{FF2B5EF4-FFF2-40B4-BE49-F238E27FC236}">
              <a16:creationId xmlns:a16="http://schemas.microsoft.com/office/drawing/2014/main" id="{6D0576D1-7635-3781-536F-BA09046EFEC2}"/>
            </a:ext>
          </a:extLst>
        </xdr:cNvPr>
        <xdr:cNvSpPr/>
      </xdr:nvSpPr>
      <xdr:spPr>
        <a:xfrm>
          <a:off x="9621635" y="7424113"/>
          <a:ext cx="200606" cy="207512"/>
        </a:xfrm>
        <a:prstGeom prst="flowChartConnector">
          <a:avLst/>
        </a:prstGeom>
        <a:solidFill>
          <a:srgbClr val="85998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4</a:t>
          </a:r>
        </a:p>
        <a:p>
          <a:pPr algn="ctr"/>
          <a:r>
            <a:rPr lang="en-US" sz="1100"/>
            <a:t>4</a:t>
          </a:r>
        </a:p>
      </xdr:txBody>
    </xdr:sp>
    <xdr:clientData/>
  </xdr:twoCellAnchor>
  <xdr:twoCellAnchor>
    <xdr:from>
      <xdr:col>19</xdr:col>
      <xdr:colOff>0</xdr:colOff>
      <xdr:row>1</xdr:row>
      <xdr:rowOff>388775</xdr:rowOff>
    </xdr:from>
    <xdr:to>
      <xdr:col>19</xdr:col>
      <xdr:colOff>38877</xdr:colOff>
      <xdr:row>37</xdr:row>
      <xdr:rowOff>103674</xdr:rowOff>
    </xdr:to>
    <xdr:cxnSp macro="">
      <xdr:nvCxnSpPr>
        <xdr:cNvPr id="62" name="Straight Connector 61">
          <a:extLst>
            <a:ext uri="{FF2B5EF4-FFF2-40B4-BE49-F238E27FC236}">
              <a16:creationId xmlns:a16="http://schemas.microsoft.com/office/drawing/2014/main" id="{EC56CC7B-EF67-CA15-94EF-DA52C5E71897}"/>
            </a:ext>
          </a:extLst>
        </xdr:cNvPr>
        <xdr:cNvCxnSpPr/>
      </xdr:nvCxnSpPr>
      <xdr:spPr>
        <a:xfrm>
          <a:off x="11494796" y="570204"/>
          <a:ext cx="38877" cy="7088674"/>
        </a:xfrm>
        <a:prstGeom prst="line">
          <a:avLst/>
        </a:prstGeom>
        <a:ln>
          <a:solidFill>
            <a:schemeClr val="bg1">
              <a:lumMod val="9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122664</xdr:colOff>
      <xdr:row>1</xdr:row>
      <xdr:rowOff>557244</xdr:rowOff>
    </xdr:from>
    <xdr:to>
      <xdr:col>23</xdr:col>
      <xdr:colOff>401735</xdr:colOff>
      <xdr:row>23</xdr:row>
      <xdr:rowOff>12959</xdr:rowOff>
    </xdr:to>
    <xdr:sp macro="" textlink="">
      <xdr:nvSpPr>
        <xdr:cNvPr id="78" name="Rectangle: Rounded Corners 77">
          <a:extLst>
            <a:ext uri="{FF2B5EF4-FFF2-40B4-BE49-F238E27FC236}">
              <a16:creationId xmlns:a16="http://schemas.microsoft.com/office/drawing/2014/main" id="{48F241C7-8EED-AF1B-9927-213D0E621671}"/>
            </a:ext>
          </a:extLst>
        </xdr:cNvPr>
        <xdr:cNvSpPr/>
      </xdr:nvSpPr>
      <xdr:spPr>
        <a:xfrm>
          <a:off x="11617460" y="738673"/>
          <a:ext cx="2715397" cy="4289490"/>
        </a:xfrm>
        <a:prstGeom prst="roundRect">
          <a:avLst/>
        </a:prstGeom>
        <a:noFill/>
        <a:ln w="127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194389</xdr:colOff>
      <xdr:row>1</xdr:row>
      <xdr:rowOff>946021</xdr:rowOff>
    </xdr:from>
    <xdr:to>
      <xdr:col>23</xdr:col>
      <xdr:colOff>103674</xdr:colOff>
      <xdr:row>15</xdr:row>
      <xdr:rowOff>142551</xdr:rowOff>
    </xdr:to>
    <xdr:graphicFrame macro="">
      <xdr:nvGraphicFramePr>
        <xdr:cNvPr id="79" name="Chart 78">
          <a:extLst>
            <a:ext uri="{FF2B5EF4-FFF2-40B4-BE49-F238E27FC236}">
              <a16:creationId xmlns:a16="http://schemas.microsoft.com/office/drawing/2014/main" id="{C634277F-A627-49F0-8332-8DCCBD24A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21</xdr:col>
      <xdr:colOff>142328</xdr:colOff>
      <xdr:row>4</xdr:row>
      <xdr:rowOff>2</xdr:rowOff>
    </xdr:from>
    <xdr:ext cx="1061983" cy="405432"/>
    <xdr:sp macro="" textlink="">
      <xdr:nvSpPr>
        <xdr:cNvPr id="85" name="TextBox 84">
          <a:extLst>
            <a:ext uri="{FF2B5EF4-FFF2-40B4-BE49-F238E27FC236}">
              <a16:creationId xmlns:a16="http://schemas.microsoft.com/office/drawing/2014/main" id="{F458C2CB-8DF1-52B2-E77A-C0F1380064EC}"/>
            </a:ext>
          </a:extLst>
        </xdr:cNvPr>
        <xdr:cNvSpPr txBox="1"/>
      </xdr:nvSpPr>
      <xdr:spPr>
        <a:xfrm>
          <a:off x="12855287" y="1568063"/>
          <a:ext cx="106198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0" i="0" u="none" strike="noStrike">
              <a:solidFill>
                <a:schemeClr val="tx1">
                  <a:lumMod val="95000"/>
                  <a:lumOff val="5000"/>
                </a:schemeClr>
              </a:solidFill>
              <a:latin typeface="Aptos Narrow"/>
            </a:rPr>
            <a:t> </a:t>
          </a:r>
        </a:p>
      </xdr:txBody>
    </xdr:sp>
    <xdr:clientData/>
  </xdr:oneCellAnchor>
  <xdr:oneCellAnchor>
    <xdr:from>
      <xdr:col>20</xdr:col>
      <xdr:colOff>259182</xdr:colOff>
      <xdr:row>1</xdr:row>
      <xdr:rowOff>699798</xdr:rowOff>
    </xdr:from>
    <xdr:ext cx="1619898" cy="1031629"/>
    <xdr:sp macro="" textlink="pivot!C15">
      <xdr:nvSpPr>
        <xdr:cNvPr id="87" name="TextBox 86">
          <a:extLst>
            <a:ext uri="{FF2B5EF4-FFF2-40B4-BE49-F238E27FC236}">
              <a16:creationId xmlns:a16="http://schemas.microsoft.com/office/drawing/2014/main" id="{4F2539A5-B418-C5D9-62E7-641D5A691D64}"/>
            </a:ext>
          </a:extLst>
        </xdr:cNvPr>
        <xdr:cNvSpPr txBox="1"/>
      </xdr:nvSpPr>
      <xdr:spPr>
        <a:xfrm>
          <a:off x="12363060" y="881227"/>
          <a:ext cx="1619898" cy="10316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tx1">
                  <a:lumMod val="95000"/>
                  <a:lumOff val="5000"/>
                </a:schemeClr>
              </a:solidFill>
            </a:rPr>
            <a:t>Order</a:t>
          </a:r>
          <a:r>
            <a:rPr lang="en-US" sz="2000" b="1" baseline="0">
              <a:solidFill>
                <a:schemeClr val="tx1">
                  <a:lumMod val="95000"/>
                  <a:lumOff val="5000"/>
                </a:schemeClr>
              </a:solidFill>
            </a:rPr>
            <a:t> Status</a:t>
          </a:r>
        </a:p>
        <a:p>
          <a:endParaRPr lang="en-US" sz="2000" b="1" baseline="0">
            <a:solidFill>
              <a:schemeClr val="tx1">
                <a:lumMod val="95000"/>
                <a:lumOff val="5000"/>
              </a:schemeClr>
            </a:solidFill>
          </a:endParaRPr>
        </a:p>
        <a:p>
          <a:endParaRPr lang="en-US" sz="2000" b="1">
            <a:solidFill>
              <a:schemeClr val="tx1">
                <a:lumMod val="95000"/>
                <a:lumOff val="5000"/>
              </a:schemeClr>
            </a:solidFill>
          </a:endParaRPr>
        </a:p>
      </xdr:txBody>
    </xdr:sp>
    <xdr:clientData/>
  </xdr:oneCellAnchor>
  <xdr:twoCellAnchor>
    <xdr:from>
      <xdr:col>20</xdr:col>
      <xdr:colOff>134507</xdr:colOff>
      <xdr:row>1</xdr:row>
      <xdr:rowOff>816203</xdr:rowOff>
    </xdr:from>
    <xdr:to>
      <xdr:col>20</xdr:col>
      <xdr:colOff>285101</xdr:colOff>
      <xdr:row>1</xdr:row>
      <xdr:rowOff>971939</xdr:rowOff>
    </xdr:to>
    <xdr:sp macro="" textlink="">
      <xdr:nvSpPr>
        <xdr:cNvPr id="88" name="Oval 87">
          <a:extLst>
            <a:ext uri="{FF2B5EF4-FFF2-40B4-BE49-F238E27FC236}">
              <a16:creationId xmlns:a16="http://schemas.microsoft.com/office/drawing/2014/main" id="{B884294F-0DB1-650A-A82F-6122CCCAAC52}"/>
            </a:ext>
          </a:extLst>
        </xdr:cNvPr>
        <xdr:cNvSpPr/>
      </xdr:nvSpPr>
      <xdr:spPr>
        <a:xfrm>
          <a:off x="12238385" y="997632"/>
          <a:ext cx="150594" cy="155736"/>
        </a:xfrm>
        <a:prstGeom prst="ellipse">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311020</xdr:colOff>
      <xdr:row>2</xdr:row>
      <xdr:rowOff>103674</xdr:rowOff>
    </xdr:from>
    <xdr:to>
      <xdr:col>23</xdr:col>
      <xdr:colOff>311021</xdr:colOff>
      <xdr:row>2</xdr:row>
      <xdr:rowOff>116633</xdr:rowOff>
    </xdr:to>
    <xdr:cxnSp macro="">
      <xdr:nvCxnSpPr>
        <xdr:cNvPr id="94" name="Straight Connector 93">
          <a:extLst>
            <a:ext uri="{FF2B5EF4-FFF2-40B4-BE49-F238E27FC236}">
              <a16:creationId xmlns:a16="http://schemas.microsoft.com/office/drawing/2014/main" id="{F55E198B-A495-FCAA-8C66-120718BEAC2E}"/>
            </a:ext>
          </a:extLst>
        </xdr:cNvPr>
        <xdr:cNvCxnSpPr/>
      </xdr:nvCxnSpPr>
      <xdr:spPr>
        <a:xfrm>
          <a:off x="11805816" y="1308878"/>
          <a:ext cx="2436327" cy="12959"/>
        </a:xfrm>
        <a:prstGeom prst="line">
          <a:avLst/>
        </a:prstGeom>
        <a:ln>
          <a:solidFill>
            <a:schemeClr val="bg1">
              <a:lumMod val="85000"/>
            </a:schemeClr>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19</xdr:col>
      <xdr:colOff>259182</xdr:colOff>
      <xdr:row>18</xdr:row>
      <xdr:rowOff>129592</xdr:rowOff>
    </xdr:from>
    <xdr:to>
      <xdr:col>23</xdr:col>
      <xdr:colOff>194388</xdr:colOff>
      <xdr:row>18</xdr:row>
      <xdr:rowOff>142551</xdr:rowOff>
    </xdr:to>
    <xdr:cxnSp macro="">
      <xdr:nvCxnSpPr>
        <xdr:cNvPr id="122" name="Straight Connector 121">
          <a:extLst>
            <a:ext uri="{FF2B5EF4-FFF2-40B4-BE49-F238E27FC236}">
              <a16:creationId xmlns:a16="http://schemas.microsoft.com/office/drawing/2014/main" id="{A6836E70-24B6-4340-836B-C01FF07B4639}"/>
            </a:ext>
          </a:extLst>
        </xdr:cNvPr>
        <xdr:cNvCxnSpPr/>
      </xdr:nvCxnSpPr>
      <xdr:spPr>
        <a:xfrm>
          <a:off x="11753978" y="4237653"/>
          <a:ext cx="2371532" cy="12959"/>
        </a:xfrm>
        <a:prstGeom prst="line">
          <a:avLst/>
        </a:prstGeom>
        <a:ln>
          <a:solidFill>
            <a:schemeClr val="bg1">
              <a:lumMod val="85000"/>
            </a:schemeClr>
          </a:solidFill>
        </a:ln>
      </xdr:spPr>
      <xdr:style>
        <a:lnRef idx="1">
          <a:schemeClr val="accent6"/>
        </a:lnRef>
        <a:fillRef idx="0">
          <a:schemeClr val="accent6"/>
        </a:fillRef>
        <a:effectRef idx="0">
          <a:schemeClr val="accent6"/>
        </a:effectRef>
        <a:fontRef idx="minor">
          <a:schemeClr val="tx1"/>
        </a:fontRef>
      </xdr:style>
    </xdr:cxnSp>
    <xdr:clientData/>
  </xdr:twoCellAnchor>
  <xdr:oneCellAnchor>
    <xdr:from>
      <xdr:col>19</xdr:col>
      <xdr:colOff>85091</xdr:colOff>
      <xdr:row>15</xdr:row>
      <xdr:rowOff>127636</xdr:rowOff>
    </xdr:from>
    <xdr:ext cx="2778890" cy="484363"/>
    <xdr:sp macro="" textlink="pivot!C15">
      <xdr:nvSpPr>
        <xdr:cNvPr id="138" name="TextBox 137">
          <a:extLst>
            <a:ext uri="{FF2B5EF4-FFF2-40B4-BE49-F238E27FC236}">
              <a16:creationId xmlns:a16="http://schemas.microsoft.com/office/drawing/2014/main" id="{ED0F8D80-E033-4371-9A76-5B4C76C1E47F}"/>
            </a:ext>
          </a:extLst>
        </xdr:cNvPr>
        <xdr:cNvSpPr txBox="1"/>
      </xdr:nvSpPr>
      <xdr:spPr>
        <a:xfrm>
          <a:off x="11579887" y="3691412"/>
          <a:ext cx="2778890" cy="484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a:solidFill>
                <a:schemeClr val="bg1">
                  <a:lumMod val="50000"/>
                </a:schemeClr>
              </a:solidFill>
              <a:latin typeface="+mn-lt"/>
              <a:ea typeface="+mn-ea"/>
              <a:cs typeface="+mn-cs"/>
            </a:rPr>
            <a:t> percentagee</a:t>
          </a:r>
          <a:r>
            <a:rPr lang="en-US" sz="1200" b="1" baseline="0">
              <a:solidFill>
                <a:schemeClr val="bg1">
                  <a:lumMod val="50000"/>
                </a:schemeClr>
              </a:solidFill>
              <a:latin typeface="+mn-lt"/>
              <a:ea typeface="+mn-ea"/>
              <a:cs typeface="+mn-cs"/>
            </a:rPr>
            <a:t> of orders based                            on the status</a:t>
          </a:r>
          <a:endParaRPr lang="en-US" sz="1200" b="1">
            <a:solidFill>
              <a:schemeClr val="bg1">
                <a:lumMod val="50000"/>
              </a:schemeClr>
            </a:solidFill>
            <a:latin typeface="ADLaM Display" panose="020F0502020204030204" pitchFamily="2" charset="0"/>
            <a:ea typeface="ADLaM Display" panose="020F0502020204030204" pitchFamily="2" charset="0"/>
            <a:cs typeface="ADLaM Display" panose="020F0502020204030204" pitchFamily="2" charset="0"/>
          </a:endParaRPr>
        </a:p>
      </xdr:txBody>
    </xdr:sp>
    <xdr:clientData/>
  </xdr:oneCellAnchor>
  <xdr:oneCellAnchor>
    <xdr:from>
      <xdr:col>19</xdr:col>
      <xdr:colOff>388552</xdr:colOff>
      <xdr:row>19</xdr:row>
      <xdr:rowOff>4</xdr:rowOff>
    </xdr:from>
    <xdr:ext cx="1061983" cy="374077"/>
    <xdr:sp macro="" textlink="pivot!C15">
      <xdr:nvSpPr>
        <xdr:cNvPr id="141" name="TextBox 140">
          <a:extLst>
            <a:ext uri="{FF2B5EF4-FFF2-40B4-BE49-F238E27FC236}">
              <a16:creationId xmlns:a16="http://schemas.microsoft.com/office/drawing/2014/main" id="{7AFA09DA-0B29-459E-2B2E-9754AC2E9B81}"/>
            </a:ext>
          </a:extLst>
        </xdr:cNvPr>
        <xdr:cNvSpPr txBox="1"/>
      </xdr:nvSpPr>
      <xdr:spPr>
        <a:xfrm>
          <a:off x="11883348" y="4289494"/>
          <a:ext cx="1061983"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a:solidFill>
                <a:schemeClr val="tx1">
                  <a:lumMod val="95000"/>
                  <a:lumOff val="5000"/>
                </a:schemeClr>
              </a:solidFill>
            </a:rPr>
            <a:t>Pending</a:t>
          </a:r>
        </a:p>
      </xdr:txBody>
    </xdr:sp>
    <xdr:clientData/>
  </xdr:oneCellAnchor>
  <xdr:twoCellAnchor>
    <xdr:from>
      <xdr:col>19</xdr:col>
      <xdr:colOff>302977</xdr:colOff>
      <xdr:row>19</xdr:row>
      <xdr:rowOff>103450</xdr:rowOff>
    </xdr:from>
    <xdr:to>
      <xdr:col>19</xdr:col>
      <xdr:colOff>440612</xdr:colOff>
      <xdr:row>20</xdr:row>
      <xdr:rowOff>77757</xdr:rowOff>
    </xdr:to>
    <xdr:sp macro="" textlink="">
      <xdr:nvSpPr>
        <xdr:cNvPr id="142" name="Oval 141">
          <a:extLst>
            <a:ext uri="{FF2B5EF4-FFF2-40B4-BE49-F238E27FC236}">
              <a16:creationId xmlns:a16="http://schemas.microsoft.com/office/drawing/2014/main" id="{48B9AB0A-095D-22D4-FEFA-A4A5FFDC9FA4}"/>
            </a:ext>
          </a:extLst>
        </xdr:cNvPr>
        <xdr:cNvSpPr/>
      </xdr:nvSpPr>
      <xdr:spPr>
        <a:xfrm>
          <a:off x="11797773" y="4392940"/>
          <a:ext cx="137635" cy="155735"/>
        </a:xfrm>
        <a:prstGeom prst="ellipse">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21</xdr:col>
      <xdr:colOff>271919</xdr:colOff>
      <xdr:row>19</xdr:row>
      <xdr:rowOff>25923</xdr:rowOff>
    </xdr:from>
    <xdr:ext cx="1270223" cy="388774"/>
    <xdr:sp macro="" textlink="pivot!C15">
      <xdr:nvSpPr>
        <xdr:cNvPr id="147" name="TextBox 146">
          <a:extLst>
            <a:ext uri="{FF2B5EF4-FFF2-40B4-BE49-F238E27FC236}">
              <a16:creationId xmlns:a16="http://schemas.microsoft.com/office/drawing/2014/main" id="{48ACE980-608A-672A-D235-43F4742C0CEA}"/>
            </a:ext>
          </a:extLst>
        </xdr:cNvPr>
        <xdr:cNvSpPr txBox="1"/>
      </xdr:nvSpPr>
      <xdr:spPr>
        <a:xfrm>
          <a:off x="12984878" y="4315413"/>
          <a:ext cx="1270223" cy="3887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a:solidFill>
                <a:schemeClr val="tx1">
                  <a:lumMod val="95000"/>
                  <a:lumOff val="5000"/>
                </a:schemeClr>
              </a:solidFill>
            </a:rPr>
            <a:t>Completed</a:t>
          </a:r>
        </a:p>
      </xdr:txBody>
    </xdr:sp>
    <xdr:clientData/>
  </xdr:oneCellAnchor>
  <xdr:twoCellAnchor>
    <xdr:from>
      <xdr:col>21</xdr:col>
      <xdr:colOff>186344</xdr:colOff>
      <xdr:row>19</xdr:row>
      <xdr:rowOff>116409</xdr:rowOff>
    </xdr:from>
    <xdr:to>
      <xdr:col>21</xdr:col>
      <xdr:colOff>323979</xdr:colOff>
      <xdr:row>20</xdr:row>
      <xdr:rowOff>90716</xdr:rowOff>
    </xdr:to>
    <xdr:sp macro="" textlink="">
      <xdr:nvSpPr>
        <xdr:cNvPr id="148" name="Oval 147">
          <a:extLst>
            <a:ext uri="{FF2B5EF4-FFF2-40B4-BE49-F238E27FC236}">
              <a16:creationId xmlns:a16="http://schemas.microsoft.com/office/drawing/2014/main" id="{E272C003-5282-75FD-8BA3-E2B8302151AD}"/>
            </a:ext>
          </a:extLst>
        </xdr:cNvPr>
        <xdr:cNvSpPr/>
      </xdr:nvSpPr>
      <xdr:spPr>
        <a:xfrm>
          <a:off x="12899303" y="4405899"/>
          <a:ext cx="137635" cy="155735"/>
        </a:xfrm>
        <a:prstGeom prst="ellipse">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20</xdr:col>
      <xdr:colOff>267004</xdr:colOff>
      <xdr:row>20</xdr:row>
      <xdr:rowOff>168472</xdr:rowOff>
    </xdr:from>
    <xdr:ext cx="1270223" cy="388774"/>
    <xdr:sp macro="" textlink="pivot!C15">
      <xdr:nvSpPr>
        <xdr:cNvPr id="149" name="TextBox 148">
          <a:extLst>
            <a:ext uri="{FF2B5EF4-FFF2-40B4-BE49-F238E27FC236}">
              <a16:creationId xmlns:a16="http://schemas.microsoft.com/office/drawing/2014/main" id="{B75FFD82-DD27-46DF-9DFA-ADFAC0C66D3E}"/>
            </a:ext>
          </a:extLst>
        </xdr:cNvPr>
        <xdr:cNvSpPr txBox="1"/>
      </xdr:nvSpPr>
      <xdr:spPr>
        <a:xfrm>
          <a:off x="12370882" y="4639390"/>
          <a:ext cx="1270223" cy="3887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a:solidFill>
                <a:schemeClr val="tx1">
                  <a:lumMod val="95000"/>
                  <a:lumOff val="5000"/>
                </a:schemeClr>
              </a:solidFill>
            </a:rPr>
            <a:t>Cancelled</a:t>
          </a:r>
        </a:p>
      </xdr:txBody>
    </xdr:sp>
    <xdr:clientData/>
  </xdr:oneCellAnchor>
  <xdr:twoCellAnchor>
    <xdr:from>
      <xdr:col>20</xdr:col>
      <xdr:colOff>181429</xdr:colOff>
      <xdr:row>21</xdr:row>
      <xdr:rowOff>77529</xdr:rowOff>
    </xdr:from>
    <xdr:to>
      <xdr:col>20</xdr:col>
      <xdr:colOff>319064</xdr:colOff>
      <xdr:row>22</xdr:row>
      <xdr:rowOff>51835</xdr:rowOff>
    </xdr:to>
    <xdr:sp macro="" textlink="">
      <xdr:nvSpPr>
        <xdr:cNvPr id="150" name="Oval 149">
          <a:extLst>
            <a:ext uri="{FF2B5EF4-FFF2-40B4-BE49-F238E27FC236}">
              <a16:creationId xmlns:a16="http://schemas.microsoft.com/office/drawing/2014/main" id="{C00041FB-A317-439E-B53C-DAAA865A1BF4}"/>
            </a:ext>
          </a:extLst>
        </xdr:cNvPr>
        <xdr:cNvSpPr/>
      </xdr:nvSpPr>
      <xdr:spPr>
        <a:xfrm>
          <a:off x="12285307" y="4729876"/>
          <a:ext cx="137635" cy="155735"/>
        </a:xfrm>
        <a:prstGeom prst="ellipse">
          <a:avLst/>
        </a:prstGeom>
        <a:solidFill>
          <a:schemeClr val="tx2">
            <a:lumMod val="90000"/>
            <a:lumOff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136927</xdr:colOff>
      <xdr:row>23</xdr:row>
      <xdr:rowOff>168469</xdr:rowOff>
    </xdr:from>
    <xdr:to>
      <xdr:col>23</xdr:col>
      <xdr:colOff>405983</xdr:colOff>
      <xdr:row>37</xdr:row>
      <xdr:rowOff>83278</xdr:rowOff>
    </xdr:to>
    <xdr:sp macro="" textlink="">
      <xdr:nvSpPr>
        <xdr:cNvPr id="8" name="Rectangle: Rounded Corners 163">
          <a:extLst>
            <a:ext uri="{FF2B5EF4-FFF2-40B4-BE49-F238E27FC236}">
              <a16:creationId xmlns:a16="http://schemas.microsoft.com/office/drawing/2014/main" id="{F1ACA8AA-7FDB-42CD-9130-B8231BCDE36C}"/>
            </a:ext>
          </a:extLst>
        </xdr:cNvPr>
        <xdr:cNvSpPr/>
      </xdr:nvSpPr>
      <xdr:spPr>
        <a:xfrm>
          <a:off x="11723075" y="5310928"/>
          <a:ext cx="2725777" cy="2538088"/>
        </a:xfrm>
        <a:prstGeom prst="roundRect">
          <a:avLst>
            <a:gd name="adj" fmla="val 9794"/>
          </a:avLst>
        </a:prstGeom>
        <a:solidFill>
          <a:srgbClr val="AABBC2"/>
        </a:solidFill>
        <a:ln w="127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19</xdr:col>
      <xdr:colOff>388555</xdr:colOff>
      <xdr:row>23</xdr:row>
      <xdr:rowOff>168473</xdr:rowOff>
    </xdr:from>
    <xdr:ext cx="1061983" cy="405432"/>
    <xdr:sp macro="" textlink="pivot!C15">
      <xdr:nvSpPr>
        <xdr:cNvPr id="165" name="TextBox 164">
          <a:extLst>
            <a:ext uri="{FF2B5EF4-FFF2-40B4-BE49-F238E27FC236}">
              <a16:creationId xmlns:a16="http://schemas.microsoft.com/office/drawing/2014/main" id="{95C953A2-9AF2-C5BA-DB2A-FE83BA5EE40C}"/>
            </a:ext>
          </a:extLst>
        </xdr:cNvPr>
        <xdr:cNvSpPr txBox="1"/>
      </xdr:nvSpPr>
      <xdr:spPr>
        <a:xfrm>
          <a:off x="11883351" y="5183677"/>
          <a:ext cx="106198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a:solidFill>
                <a:schemeClr val="tx1">
                  <a:lumMod val="95000"/>
                  <a:lumOff val="5000"/>
                </a:schemeClr>
              </a:solidFill>
            </a:rPr>
            <a:t>On</a:t>
          </a:r>
          <a:r>
            <a:rPr lang="en-US" sz="2000" baseline="0">
              <a:solidFill>
                <a:schemeClr val="tx1">
                  <a:lumMod val="95000"/>
                  <a:lumOff val="5000"/>
                </a:schemeClr>
              </a:solidFill>
            </a:rPr>
            <a:t>Time</a:t>
          </a:r>
          <a:endParaRPr lang="en-US" sz="2000">
            <a:solidFill>
              <a:schemeClr val="tx1">
                <a:lumMod val="95000"/>
                <a:lumOff val="5000"/>
              </a:schemeClr>
            </a:solidFill>
          </a:endParaRPr>
        </a:p>
      </xdr:txBody>
    </xdr:sp>
    <xdr:clientData/>
  </xdr:oneCellAnchor>
  <xdr:twoCellAnchor>
    <xdr:from>
      <xdr:col>19</xdr:col>
      <xdr:colOff>290020</xdr:colOff>
      <xdr:row>24</xdr:row>
      <xdr:rowOff>129369</xdr:rowOff>
    </xdr:from>
    <xdr:to>
      <xdr:col>19</xdr:col>
      <xdr:colOff>410451</xdr:colOff>
      <xdr:row>25</xdr:row>
      <xdr:rowOff>63682</xdr:rowOff>
    </xdr:to>
    <xdr:sp macro="" textlink="">
      <xdr:nvSpPr>
        <xdr:cNvPr id="166" name="Oval 165">
          <a:extLst>
            <a:ext uri="{FF2B5EF4-FFF2-40B4-BE49-F238E27FC236}">
              <a16:creationId xmlns:a16="http://schemas.microsoft.com/office/drawing/2014/main" id="{78B3B901-6642-BB1A-F244-36141D7E2522}"/>
            </a:ext>
          </a:extLst>
        </xdr:cNvPr>
        <xdr:cNvSpPr/>
      </xdr:nvSpPr>
      <xdr:spPr>
        <a:xfrm>
          <a:off x="11784816" y="5326002"/>
          <a:ext cx="120431" cy="115741"/>
        </a:xfrm>
        <a:prstGeom prst="ellipse">
          <a:avLst/>
        </a:prstGeom>
        <a:solidFill>
          <a:srgbClr val="A30E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19</xdr:col>
      <xdr:colOff>221411</xdr:colOff>
      <xdr:row>26</xdr:row>
      <xdr:rowOff>21514</xdr:rowOff>
    </xdr:from>
    <xdr:ext cx="1581019" cy="855303"/>
    <xdr:sp macro="" textlink="pivot!C13">
      <xdr:nvSpPr>
        <xdr:cNvPr id="167" name="TextBox 166">
          <a:extLst>
            <a:ext uri="{FF2B5EF4-FFF2-40B4-BE49-F238E27FC236}">
              <a16:creationId xmlns:a16="http://schemas.microsoft.com/office/drawing/2014/main" id="{85D8CB0F-6EE2-4A9F-A02E-1273409315EE}"/>
            </a:ext>
          </a:extLst>
        </xdr:cNvPr>
        <xdr:cNvSpPr txBox="1"/>
      </xdr:nvSpPr>
      <xdr:spPr>
        <a:xfrm>
          <a:off x="11691943" y="5777046"/>
          <a:ext cx="1581019" cy="8553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400" b="1">
              <a:solidFill>
                <a:schemeClr val="tx1">
                  <a:lumMod val="95000"/>
                  <a:lumOff val="5000"/>
                </a:schemeClr>
              </a:solidFill>
            </a:rPr>
            <a:t>Quantity</a:t>
          </a:r>
          <a:r>
            <a:rPr lang="en-US" sz="2400" b="1" baseline="0">
              <a:solidFill>
                <a:schemeClr val="tx1">
                  <a:lumMod val="95000"/>
                  <a:lumOff val="5000"/>
                </a:schemeClr>
              </a:solidFill>
            </a:rPr>
            <a:t> of Units Sold</a:t>
          </a:r>
          <a:endParaRPr lang="en-US" sz="2400" b="1">
            <a:solidFill>
              <a:schemeClr val="tx1">
                <a:lumMod val="95000"/>
                <a:lumOff val="5000"/>
              </a:schemeClr>
            </a:solidFill>
          </a:endParaRPr>
        </a:p>
      </xdr:txBody>
    </xdr:sp>
    <xdr:clientData/>
  </xdr:oneCellAnchor>
  <xdr:oneCellAnchor>
    <xdr:from>
      <xdr:col>19</xdr:col>
      <xdr:colOff>208451</xdr:colOff>
      <xdr:row>30</xdr:row>
      <xdr:rowOff>100920</xdr:rowOff>
    </xdr:from>
    <xdr:ext cx="2384489" cy="530658"/>
    <xdr:sp macro="" textlink="pivot!C15">
      <xdr:nvSpPr>
        <xdr:cNvPr id="168" name="TextBox 167">
          <a:extLst>
            <a:ext uri="{FF2B5EF4-FFF2-40B4-BE49-F238E27FC236}">
              <a16:creationId xmlns:a16="http://schemas.microsoft.com/office/drawing/2014/main" id="{054428C2-4952-4EA5-BBA8-8D6BC307C127}"/>
            </a:ext>
          </a:extLst>
        </xdr:cNvPr>
        <xdr:cNvSpPr txBox="1"/>
      </xdr:nvSpPr>
      <xdr:spPr>
        <a:xfrm>
          <a:off x="11678983" y="6613048"/>
          <a:ext cx="2384489"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solidFill>
                <a:schemeClr val="tx1">
                  <a:lumMod val="95000"/>
                  <a:lumOff val="5000"/>
                </a:schemeClr>
              </a:solidFill>
            </a:rPr>
            <a:t>Overall</a:t>
          </a:r>
          <a:r>
            <a:rPr lang="en-US" sz="1400" baseline="0">
              <a:solidFill>
                <a:schemeClr val="tx1">
                  <a:lumMod val="95000"/>
                  <a:lumOff val="5000"/>
                </a:schemeClr>
              </a:solidFill>
            </a:rPr>
            <a:t> ontime quantity sold across all regions</a:t>
          </a:r>
          <a:endParaRPr lang="en-US" sz="1400">
            <a:solidFill>
              <a:schemeClr val="tx1">
                <a:lumMod val="95000"/>
                <a:lumOff val="5000"/>
              </a:schemeClr>
            </a:solidFill>
          </a:endParaRPr>
        </a:p>
      </xdr:txBody>
    </xdr:sp>
    <xdr:clientData/>
  </xdr:oneCellAnchor>
  <xdr:oneCellAnchor>
    <xdr:from>
      <xdr:col>21</xdr:col>
      <xdr:colOff>295193</xdr:colOff>
      <xdr:row>32</xdr:row>
      <xdr:rowOff>40532</xdr:rowOff>
    </xdr:from>
    <xdr:ext cx="1231122" cy="770106"/>
    <xdr:sp macro="" textlink="pivot!V14">
      <xdr:nvSpPr>
        <xdr:cNvPr id="170" name="TextBox 169">
          <a:extLst>
            <a:ext uri="{FF2B5EF4-FFF2-40B4-BE49-F238E27FC236}">
              <a16:creationId xmlns:a16="http://schemas.microsoft.com/office/drawing/2014/main" id="{3F54C92C-BF84-4D7A-970A-4F4BD5D4326D}"/>
            </a:ext>
          </a:extLst>
        </xdr:cNvPr>
        <xdr:cNvSpPr txBox="1"/>
      </xdr:nvSpPr>
      <xdr:spPr>
        <a:xfrm>
          <a:off x="12981682" y="6930958"/>
          <a:ext cx="1231122" cy="7701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F65960F0-40FE-444B-AFBD-B54B95A1DACE}" type="TxLink">
            <a:rPr lang="en-US" sz="4800" b="1" i="0" u="none" strike="noStrike">
              <a:solidFill>
                <a:schemeClr val="accent1">
                  <a:lumMod val="50000"/>
                </a:schemeClr>
              </a:solidFill>
              <a:latin typeface="Aptos Narrow"/>
            </a:rPr>
            <a:pPr/>
            <a:t>800</a:t>
          </a:fld>
          <a:endParaRPr lang="en-US" sz="4800" b="1" i="0" u="none" strike="noStrike">
            <a:solidFill>
              <a:schemeClr val="accent1">
                <a:lumMod val="50000"/>
              </a:schemeClr>
            </a:solidFill>
            <a:latin typeface="Aptos Narrow"/>
          </a:endParaRPr>
        </a:p>
      </xdr:txBody>
    </xdr:sp>
    <xdr:clientData/>
  </xdr:oneCellAnchor>
  <xdr:twoCellAnchor>
    <xdr:from>
      <xdr:col>20</xdr:col>
      <xdr:colOff>121397</xdr:colOff>
      <xdr:row>0</xdr:row>
      <xdr:rowOff>94575</xdr:rowOff>
    </xdr:from>
    <xdr:to>
      <xdr:col>23</xdr:col>
      <xdr:colOff>459362</xdr:colOff>
      <xdr:row>1</xdr:row>
      <xdr:rowOff>310745</xdr:rowOff>
    </xdr:to>
    <xdr:sp macro="" textlink="">
      <xdr:nvSpPr>
        <xdr:cNvPr id="175" name="Rectangle: Rounded Corners 174">
          <a:extLst>
            <a:ext uri="{FF2B5EF4-FFF2-40B4-BE49-F238E27FC236}">
              <a16:creationId xmlns:a16="http://schemas.microsoft.com/office/drawing/2014/main" id="{99B3D68F-254C-5465-EDC5-54C43915FEAB}"/>
            </a:ext>
          </a:extLst>
        </xdr:cNvPr>
        <xdr:cNvSpPr/>
      </xdr:nvSpPr>
      <xdr:spPr>
        <a:xfrm>
          <a:off x="12186397" y="94575"/>
          <a:ext cx="2158921" cy="402935"/>
        </a:xfrm>
        <a:prstGeom prst="roundRect">
          <a:avLst>
            <a:gd name="adj" fmla="val 50000"/>
          </a:avLst>
        </a:prstGeom>
        <a:solidFill>
          <a:schemeClr val="bg1">
            <a:lumMod val="85000"/>
            <a:alpha val="25000"/>
          </a:schemeClr>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140072</xdr:colOff>
      <xdr:row>0</xdr:row>
      <xdr:rowOff>56030</xdr:rowOff>
    </xdr:from>
    <xdr:to>
      <xdr:col>23</xdr:col>
      <xdr:colOff>429559</xdr:colOff>
      <xdr:row>1</xdr:row>
      <xdr:rowOff>342614</xdr:rowOff>
    </xdr:to>
    <xdr:grpSp>
      <xdr:nvGrpSpPr>
        <xdr:cNvPr id="188" name="Group 187">
          <a:hlinkClick xmlns:r="http://schemas.openxmlformats.org/officeDocument/2006/relationships" r:id="rId4"/>
          <a:extLst>
            <a:ext uri="{FF2B5EF4-FFF2-40B4-BE49-F238E27FC236}">
              <a16:creationId xmlns:a16="http://schemas.microsoft.com/office/drawing/2014/main" id="{08473CC2-7CBB-7DF1-BBE6-177788ABB6FD}"/>
            </a:ext>
          </a:extLst>
        </xdr:cNvPr>
        <xdr:cNvGrpSpPr/>
      </xdr:nvGrpSpPr>
      <xdr:grpSpPr>
        <a:xfrm>
          <a:off x="12287387" y="56030"/>
          <a:ext cx="2123931" cy="474732"/>
          <a:chOff x="12205072" y="56030"/>
          <a:chExt cx="2110443" cy="473411"/>
        </a:xfrm>
      </xdr:grpSpPr>
      <xdr:sp macro="" textlink="pivot!BA27">
        <xdr:nvSpPr>
          <xdr:cNvPr id="174" name="TextBox 173">
            <a:extLst>
              <a:ext uri="{FF2B5EF4-FFF2-40B4-BE49-F238E27FC236}">
                <a16:creationId xmlns:a16="http://schemas.microsoft.com/office/drawing/2014/main" id="{D242DC6F-C47D-4D19-A440-4C88EE7976DD}"/>
              </a:ext>
            </a:extLst>
          </xdr:cNvPr>
          <xdr:cNvSpPr txBox="1"/>
        </xdr:nvSpPr>
        <xdr:spPr>
          <a:xfrm flipH="1">
            <a:off x="12205072" y="56030"/>
            <a:ext cx="1951692" cy="47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400" b="1">
                <a:solidFill>
                  <a:schemeClr val="tx1">
                    <a:lumMod val="65000"/>
                    <a:lumOff val="35000"/>
                  </a:schemeClr>
                </a:solidFill>
                <a:latin typeface="+mj-lt"/>
                <a:ea typeface="+mn-ea"/>
                <a:cs typeface="+mn-cs"/>
              </a:rPr>
              <a:t>Table</a:t>
            </a:r>
            <a:r>
              <a:rPr lang="en-US" sz="2400" b="1" baseline="0">
                <a:solidFill>
                  <a:schemeClr val="tx1">
                    <a:lumMod val="65000"/>
                    <a:lumOff val="35000"/>
                  </a:schemeClr>
                </a:solidFill>
                <a:latin typeface="+mj-lt"/>
                <a:ea typeface="+mn-ea"/>
                <a:cs typeface="+mn-cs"/>
              </a:rPr>
              <a:t> of Data</a:t>
            </a:r>
            <a:endParaRPr lang="en-US" sz="2400" b="1">
              <a:solidFill>
                <a:schemeClr val="tx1">
                  <a:lumMod val="65000"/>
                  <a:lumOff val="35000"/>
                </a:schemeClr>
              </a:solidFill>
              <a:latin typeface="+mj-lt"/>
              <a:ea typeface="ADLaM Display" panose="020F0502020204030204" pitchFamily="2" charset="0"/>
              <a:cs typeface="ADLaM Display" panose="020F0502020204030204" pitchFamily="2" charset="0"/>
            </a:endParaRPr>
          </a:p>
        </xdr:txBody>
      </xdr:sp>
      <xdr:pic>
        <xdr:nvPicPr>
          <xdr:cNvPr id="187" name="Picture 186">
            <a:extLst>
              <a:ext uri="{FF2B5EF4-FFF2-40B4-BE49-F238E27FC236}">
                <a16:creationId xmlns:a16="http://schemas.microsoft.com/office/drawing/2014/main" id="{38BAC67D-81D2-CDC0-4A6F-D8477FD14EC0}"/>
              </a:ext>
            </a:extLst>
          </xdr:cNvPr>
          <xdr:cNvPicPr>
            <a:picLocks noChangeAspect="1"/>
          </xdr:cNvPicPr>
        </xdr:nvPicPr>
        <xdr:blipFill>
          <a:blip xmlns:r="http://schemas.openxmlformats.org/officeDocument/2006/relationships" r:embed="rId5"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14008829" y="144989"/>
            <a:ext cx="306686" cy="306686"/>
          </a:xfrm>
          <a:prstGeom prst="rect">
            <a:avLst/>
          </a:prstGeom>
        </xdr:spPr>
      </xdr:pic>
    </xdr:grpSp>
    <xdr:clientData/>
  </xdr:twoCellAnchor>
  <xdr:twoCellAnchor>
    <xdr:from>
      <xdr:col>15</xdr:col>
      <xdr:colOff>196101</xdr:colOff>
      <xdr:row>1</xdr:row>
      <xdr:rowOff>560293</xdr:rowOff>
    </xdr:from>
    <xdr:to>
      <xdr:col>18</xdr:col>
      <xdr:colOff>522941</xdr:colOff>
      <xdr:row>1</xdr:row>
      <xdr:rowOff>961838</xdr:rowOff>
    </xdr:to>
    <xdr:sp macro="" textlink="">
      <xdr:nvSpPr>
        <xdr:cNvPr id="189" name="Rectangle: Rounded Corners 188">
          <a:extLst>
            <a:ext uri="{FF2B5EF4-FFF2-40B4-BE49-F238E27FC236}">
              <a16:creationId xmlns:a16="http://schemas.microsoft.com/office/drawing/2014/main" id="{A4BF3160-1F9E-4AAB-B246-295A61A923C7}"/>
            </a:ext>
          </a:extLst>
        </xdr:cNvPr>
        <xdr:cNvSpPr/>
      </xdr:nvSpPr>
      <xdr:spPr>
        <a:xfrm>
          <a:off x="9226175" y="747058"/>
          <a:ext cx="2147795" cy="401545"/>
        </a:xfrm>
        <a:prstGeom prst="roundRect">
          <a:avLst>
            <a:gd name="adj" fmla="val 39923"/>
          </a:avLst>
        </a:prstGeom>
        <a:noFill/>
        <a:ln w="127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261470</xdr:colOff>
      <xdr:row>1</xdr:row>
      <xdr:rowOff>606986</xdr:rowOff>
    </xdr:from>
    <xdr:to>
      <xdr:col>15</xdr:col>
      <xdr:colOff>588308</xdr:colOff>
      <xdr:row>1</xdr:row>
      <xdr:rowOff>933824</xdr:rowOff>
    </xdr:to>
    <xdr:pic>
      <xdr:nvPicPr>
        <xdr:cNvPr id="191" name="Picture 190">
          <a:extLst>
            <a:ext uri="{FF2B5EF4-FFF2-40B4-BE49-F238E27FC236}">
              <a16:creationId xmlns:a16="http://schemas.microsoft.com/office/drawing/2014/main" id="{FFF7C2DA-FCD7-3336-81A8-250A199A7AE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291544" y="793751"/>
          <a:ext cx="326838" cy="326838"/>
        </a:xfrm>
        <a:prstGeom prst="rect">
          <a:avLst/>
        </a:prstGeom>
      </xdr:spPr>
    </xdr:pic>
    <xdr:clientData/>
  </xdr:twoCellAnchor>
  <xdr:oneCellAnchor>
    <xdr:from>
      <xdr:col>3</xdr:col>
      <xdr:colOff>336176</xdr:colOff>
      <xdr:row>5</xdr:row>
      <xdr:rowOff>112058</xdr:rowOff>
    </xdr:from>
    <xdr:ext cx="1914339" cy="264560"/>
    <xdr:sp macro="" textlink="pivot!C15">
      <xdr:nvSpPr>
        <xdr:cNvPr id="192" name="TextBox 191">
          <a:extLst>
            <a:ext uri="{FF2B5EF4-FFF2-40B4-BE49-F238E27FC236}">
              <a16:creationId xmlns:a16="http://schemas.microsoft.com/office/drawing/2014/main" id="{A4C98A4F-C1D2-4408-9540-03B93A5E2FA3}"/>
            </a:ext>
          </a:extLst>
        </xdr:cNvPr>
        <xdr:cNvSpPr txBox="1"/>
      </xdr:nvSpPr>
      <xdr:spPr>
        <a:xfrm>
          <a:off x="2157132" y="1876984"/>
          <a:ext cx="191433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i="0" u="none" strike="noStrike">
              <a:solidFill>
                <a:schemeClr val="bg2">
                  <a:lumMod val="50000"/>
                </a:schemeClr>
              </a:solidFill>
              <a:effectLst/>
              <a:latin typeface="+mn-lt"/>
              <a:ea typeface="+mn-ea"/>
              <a:cs typeface="+mn-cs"/>
            </a:rPr>
            <a:t>Thursday, July 24, 2025</a:t>
          </a:r>
          <a:r>
            <a:rPr lang="en-US" sz="1100" b="0">
              <a:solidFill>
                <a:schemeClr val="bg2">
                  <a:lumMod val="50000"/>
                </a:schemeClr>
              </a:solidFill>
            </a:rPr>
            <a:t> </a:t>
          </a:r>
        </a:p>
      </xdr:txBody>
    </xdr:sp>
    <xdr:clientData/>
  </xdr:oneCellAnchor>
  <xdr:oneCellAnchor>
    <xdr:from>
      <xdr:col>0</xdr:col>
      <xdr:colOff>164036</xdr:colOff>
      <xdr:row>1</xdr:row>
      <xdr:rowOff>709705</xdr:rowOff>
    </xdr:from>
    <xdr:ext cx="844493" cy="405432"/>
    <xdr:sp macro="" textlink="pivot!C15">
      <xdr:nvSpPr>
        <xdr:cNvPr id="193" name="TextBox 192">
          <a:extLst>
            <a:ext uri="{FF2B5EF4-FFF2-40B4-BE49-F238E27FC236}">
              <a16:creationId xmlns:a16="http://schemas.microsoft.com/office/drawing/2014/main" id="{32E5F652-1958-4180-AA5E-8FB483E74E38}"/>
            </a:ext>
          </a:extLst>
        </xdr:cNvPr>
        <xdr:cNvSpPr txBox="1"/>
      </xdr:nvSpPr>
      <xdr:spPr>
        <a:xfrm>
          <a:off x="164036" y="896470"/>
          <a:ext cx="84449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bg1">
                  <a:lumMod val="85000"/>
                </a:schemeClr>
              </a:solidFill>
            </a:rPr>
            <a:t>Menu</a:t>
          </a:r>
        </a:p>
      </xdr:txBody>
    </xdr:sp>
    <xdr:clientData/>
  </xdr:oneCellAnchor>
  <xdr:twoCellAnchor editAs="oneCell">
    <xdr:from>
      <xdr:col>0</xdr:col>
      <xdr:colOff>252133</xdr:colOff>
      <xdr:row>26</xdr:row>
      <xdr:rowOff>84045</xdr:rowOff>
    </xdr:from>
    <xdr:to>
      <xdr:col>2</xdr:col>
      <xdr:colOff>522942</xdr:colOff>
      <xdr:row>35</xdr:row>
      <xdr:rowOff>149412</xdr:rowOff>
    </xdr:to>
    <mc:AlternateContent xmlns:mc="http://schemas.openxmlformats.org/markup-compatibility/2006" xmlns:a14="http://schemas.microsoft.com/office/drawing/2010/main">
      <mc:Choice Requires="a14">
        <xdr:graphicFrame macro="">
          <xdr:nvGraphicFramePr>
            <xdr:cNvPr id="194" name="Region 1">
              <a:extLst>
                <a:ext uri="{FF2B5EF4-FFF2-40B4-BE49-F238E27FC236}">
                  <a16:creationId xmlns:a16="http://schemas.microsoft.com/office/drawing/2014/main" id="{6177A300-55A0-483F-9C61-FB1B84BADF5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52133" y="5810804"/>
              <a:ext cx="1493772" cy="17587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261471</xdr:colOff>
      <xdr:row>15</xdr:row>
      <xdr:rowOff>65368</xdr:rowOff>
    </xdr:from>
    <xdr:to>
      <xdr:col>2</xdr:col>
      <xdr:colOff>532279</xdr:colOff>
      <xdr:row>22</xdr:row>
      <xdr:rowOff>158752</xdr:rowOff>
    </xdr:to>
    <mc:AlternateContent xmlns:mc="http://schemas.openxmlformats.org/markup-compatibility/2006" xmlns:a14="http://schemas.microsoft.com/office/drawing/2010/main">
      <mc:Choice Requires="a14">
        <xdr:graphicFrame macro="">
          <xdr:nvGraphicFramePr>
            <xdr:cNvPr id="196" name="Payment Method 1">
              <a:extLst>
                <a:ext uri="{FF2B5EF4-FFF2-40B4-BE49-F238E27FC236}">
                  <a16:creationId xmlns:a16="http://schemas.microsoft.com/office/drawing/2014/main" id="{489A7328-94CA-403F-9FA0-39623EAC93AC}"/>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261471" y="3722498"/>
              <a:ext cx="1493771" cy="14104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261470</xdr:colOff>
      <xdr:row>5</xdr:row>
      <xdr:rowOff>71798</xdr:rowOff>
    </xdr:from>
    <xdr:to>
      <xdr:col>2</xdr:col>
      <xdr:colOff>578969</xdr:colOff>
      <xdr:row>12</xdr:row>
      <xdr:rowOff>15156</xdr:rowOff>
    </xdr:to>
    <mc:AlternateContent xmlns:mc="http://schemas.openxmlformats.org/markup-compatibility/2006" xmlns:a14="http://schemas.microsoft.com/office/drawing/2010/main">
      <mc:Choice Requires="a14">
        <xdr:graphicFrame macro="">
          <xdr:nvGraphicFramePr>
            <xdr:cNvPr id="197" name="Customer Type 1">
              <a:extLst>
                <a:ext uri="{FF2B5EF4-FFF2-40B4-BE49-F238E27FC236}">
                  <a16:creationId xmlns:a16="http://schemas.microsoft.com/office/drawing/2014/main" id="{2C5380A0-5733-492E-9601-389CF75CC4C7}"/>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261470" y="1847446"/>
              <a:ext cx="1540462" cy="12603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285433</xdr:colOff>
      <xdr:row>3</xdr:row>
      <xdr:rowOff>112060</xdr:rowOff>
    </xdr:from>
    <xdr:ext cx="1414126" cy="311496"/>
    <xdr:sp macro="" textlink="pivot!C15">
      <xdr:nvSpPr>
        <xdr:cNvPr id="198" name="TextBox 197">
          <a:extLst>
            <a:ext uri="{FF2B5EF4-FFF2-40B4-BE49-F238E27FC236}">
              <a16:creationId xmlns:a16="http://schemas.microsoft.com/office/drawing/2014/main" id="{BA5046B4-4622-400B-AC67-0372C8E63CD0}"/>
            </a:ext>
          </a:extLst>
        </xdr:cNvPr>
        <xdr:cNvSpPr txBox="1"/>
      </xdr:nvSpPr>
      <xdr:spPr>
        <a:xfrm>
          <a:off x="285433" y="1503457"/>
          <a:ext cx="141412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solidFill>
                <a:schemeClr val="accent1">
                  <a:lumMod val="20000"/>
                  <a:lumOff val="80000"/>
                </a:schemeClr>
              </a:solidFill>
            </a:rPr>
            <a:t>Customer</a:t>
          </a:r>
          <a:r>
            <a:rPr lang="en-US" sz="1400" b="1" baseline="0">
              <a:solidFill>
                <a:schemeClr val="accent1">
                  <a:lumMod val="20000"/>
                  <a:lumOff val="80000"/>
                </a:schemeClr>
              </a:solidFill>
            </a:rPr>
            <a:t> Type</a:t>
          </a:r>
          <a:endParaRPr lang="en-US" sz="1400" b="1">
            <a:solidFill>
              <a:schemeClr val="accent1">
                <a:lumMod val="20000"/>
                <a:lumOff val="80000"/>
              </a:schemeClr>
            </a:solidFill>
          </a:endParaRPr>
        </a:p>
      </xdr:txBody>
    </xdr:sp>
    <xdr:clientData/>
  </xdr:oneCellAnchor>
  <xdr:oneCellAnchor>
    <xdr:from>
      <xdr:col>0</xdr:col>
      <xdr:colOff>304111</xdr:colOff>
      <xdr:row>13</xdr:row>
      <xdr:rowOff>130736</xdr:rowOff>
    </xdr:from>
    <xdr:ext cx="1460816" cy="311496"/>
    <xdr:sp macro="" textlink="pivot!C15">
      <xdr:nvSpPr>
        <xdr:cNvPr id="199" name="TextBox 198">
          <a:extLst>
            <a:ext uri="{FF2B5EF4-FFF2-40B4-BE49-F238E27FC236}">
              <a16:creationId xmlns:a16="http://schemas.microsoft.com/office/drawing/2014/main" id="{271417F0-C225-4133-B6E5-BBBD7EA2792A}"/>
            </a:ext>
          </a:extLst>
        </xdr:cNvPr>
        <xdr:cNvSpPr txBox="1"/>
      </xdr:nvSpPr>
      <xdr:spPr>
        <a:xfrm>
          <a:off x="304111" y="3389780"/>
          <a:ext cx="146081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solidFill>
                <a:schemeClr val="accent1">
                  <a:lumMod val="20000"/>
                  <a:lumOff val="80000"/>
                </a:schemeClr>
              </a:solidFill>
            </a:rPr>
            <a:t>Payment</a:t>
          </a:r>
          <a:r>
            <a:rPr lang="en-US" sz="1400" b="1" baseline="0">
              <a:solidFill>
                <a:schemeClr val="accent1">
                  <a:lumMod val="20000"/>
                  <a:lumOff val="80000"/>
                </a:schemeClr>
              </a:solidFill>
            </a:rPr>
            <a:t> Method</a:t>
          </a:r>
          <a:endParaRPr lang="en-US" sz="1200" b="1">
            <a:solidFill>
              <a:schemeClr val="accent1">
                <a:lumMod val="20000"/>
                <a:lumOff val="80000"/>
              </a:schemeClr>
            </a:solidFill>
          </a:endParaRPr>
        </a:p>
      </xdr:txBody>
    </xdr:sp>
    <xdr:clientData/>
  </xdr:oneCellAnchor>
  <xdr:oneCellAnchor>
    <xdr:from>
      <xdr:col>0</xdr:col>
      <xdr:colOff>304110</xdr:colOff>
      <xdr:row>24</xdr:row>
      <xdr:rowOff>130735</xdr:rowOff>
    </xdr:from>
    <xdr:ext cx="1460816" cy="311496"/>
    <xdr:sp macro="" textlink="pivot!C15">
      <xdr:nvSpPr>
        <xdr:cNvPr id="200" name="TextBox 199">
          <a:extLst>
            <a:ext uri="{FF2B5EF4-FFF2-40B4-BE49-F238E27FC236}">
              <a16:creationId xmlns:a16="http://schemas.microsoft.com/office/drawing/2014/main" id="{F2748646-BE65-4C39-A842-BA464DF3DFBE}"/>
            </a:ext>
          </a:extLst>
        </xdr:cNvPr>
        <xdr:cNvSpPr txBox="1"/>
      </xdr:nvSpPr>
      <xdr:spPr>
        <a:xfrm>
          <a:off x="304110" y="5444191"/>
          <a:ext cx="146081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solidFill>
                <a:schemeClr val="accent1">
                  <a:lumMod val="20000"/>
                  <a:lumOff val="80000"/>
                </a:schemeClr>
              </a:solidFill>
            </a:rPr>
            <a:t>Region</a:t>
          </a:r>
          <a:endParaRPr lang="en-US" sz="1200" b="1">
            <a:solidFill>
              <a:schemeClr val="accent1">
                <a:lumMod val="20000"/>
                <a:lumOff val="80000"/>
              </a:schemeClr>
            </a:solidFill>
          </a:endParaRPr>
        </a:p>
      </xdr:txBody>
    </xdr:sp>
    <xdr:clientData/>
  </xdr:oneCellAnchor>
  <xdr:twoCellAnchor>
    <xdr:from>
      <xdr:col>0</xdr:col>
      <xdr:colOff>317500</xdr:colOff>
      <xdr:row>12</xdr:row>
      <xdr:rowOff>102722</xdr:rowOff>
    </xdr:from>
    <xdr:to>
      <xdr:col>2</xdr:col>
      <xdr:colOff>485588</xdr:colOff>
      <xdr:row>12</xdr:row>
      <xdr:rowOff>112059</xdr:rowOff>
    </xdr:to>
    <xdr:cxnSp macro="">
      <xdr:nvCxnSpPr>
        <xdr:cNvPr id="201" name="Straight Connector 200">
          <a:extLst>
            <a:ext uri="{FF2B5EF4-FFF2-40B4-BE49-F238E27FC236}">
              <a16:creationId xmlns:a16="http://schemas.microsoft.com/office/drawing/2014/main" id="{29DBEACF-A935-4365-80B2-3C2AD6F095B6}"/>
            </a:ext>
          </a:extLst>
        </xdr:cNvPr>
        <xdr:cNvCxnSpPr/>
      </xdr:nvCxnSpPr>
      <xdr:spPr>
        <a:xfrm>
          <a:off x="317500" y="3175001"/>
          <a:ext cx="1382059" cy="9337"/>
        </a:xfrm>
        <a:prstGeom prst="line">
          <a:avLst/>
        </a:prstGeom>
        <a:ln>
          <a:solidFill>
            <a:schemeClr val="bg1">
              <a:lumMod val="95000"/>
            </a:schemeClr>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0</xdr:col>
      <xdr:colOff>308162</xdr:colOff>
      <xdr:row>24</xdr:row>
      <xdr:rowOff>0</xdr:rowOff>
    </xdr:from>
    <xdr:to>
      <xdr:col>2</xdr:col>
      <xdr:colOff>476250</xdr:colOff>
      <xdr:row>24</xdr:row>
      <xdr:rowOff>9337</xdr:rowOff>
    </xdr:to>
    <xdr:cxnSp macro="">
      <xdr:nvCxnSpPr>
        <xdr:cNvPr id="210" name="Straight Connector 209">
          <a:extLst>
            <a:ext uri="{FF2B5EF4-FFF2-40B4-BE49-F238E27FC236}">
              <a16:creationId xmlns:a16="http://schemas.microsoft.com/office/drawing/2014/main" id="{C09F0B20-F478-4DA5-BD0E-EFB5AA4A1C21}"/>
            </a:ext>
          </a:extLst>
        </xdr:cNvPr>
        <xdr:cNvCxnSpPr/>
      </xdr:nvCxnSpPr>
      <xdr:spPr>
        <a:xfrm>
          <a:off x="308162" y="5313456"/>
          <a:ext cx="1382059" cy="9337"/>
        </a:xfrm>
        <a:prstGeom prst="line">
          <a:avLst/>
        </a:prstGeom>
        <a:ln>
          <a:solidFill>
            <a:schemeClr val="bg1">
              <a:lumMod val="95000"/>
            </a:schemeClr>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3</xdr:col>
      <xdr:colOff>279399</xdr:colOff>
      <xdr:row>28</xdr:row>
      <xdr:rowOff>74706</xdr:rowOff>
    </xdr:from>
    <xdr:to>
      <xdr:col>4</xdr:col>
      <xdr:colOff>101600</xdr:colOff>
      <xdr:row>30</xdr:row>
      <xdr:rowOff>76200</xdr:rowOff>
    </xdr:to>
    <xdr:grpSp>
      <xdr:nvGrpSpPr>
        <xdr:cNvPr id="250" name="Group 249">
          <a:extLst>
            <a:ext uri="{FF2B5EF4-FFF2-40B4-BE49-F238E27FC236}">
              <a16:creationId xmlns:a16="http://schemas.microsoft.com/office/drawing/2014/main" id="{9F83D8A4-C85E-DAEE-91B7-13995866336E}"/>
            </a:ext>
          </a:extLst>
        </xdr:cNvPr>
        <xdr:cNvGrpSpPr/>
      </xdr:nvGrpSpPr>
      <xdr:grpSpPr>
        <a:xfrm>
          <a:off x="2113843" y="6177762"/>
          <a:ext cx="351368" cy="377790"/>
          <a:chOff x="15099927" y="5500220"/>
          <a:chExt cx="616324" cy="588309"/>
        </a:xfrm>
      </xdr:grpSpPr>
      <xdr:sp macro="" textlink="">
        <xdr:nvSpPr>
          <xdr:cNvPr id="240" name="Flowchart: Connector 239">
            <a:extLst>
              <a:ext uri="{FF2B5EF4-FFF2-40B4-BE49-F238E27FC236}">
                <a16:creationId xmlns:a16="http://schemas.microsoft.com/office/drawing/2014/main" id="{366BA5BD-1682-4A23-A639-F75484996E63}"/>
              </a:ext>
            </a:extLst>
          </xdr:cNvPr>
          <xdr:cNvSpPr/>
        </xdr:nvSpPr>
        <xdr:spPr>
          <a:xfrm>
            <a:off x="15099927" y="5500220"/>
            <a:ext cx="616324" cy="588309"/>
          </a:xfrm>
          <a:prstGeom prst="flowChartConnector">
            <a:avLst/>
          </a:prstGeom>
          <a:solidFill>
            <a:srgbClr val="85998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218" name="Picture 217">
            <a:extLst>
              <a:ext uri="{FF2B5EF4-FFF2-40B4-BE49-F238E27FC236}">
                <a16:creationId xmlns:a16="http://schemas.microsoft.com/office/drawing/2014/main" id="{47313A8F-1281-97BB-6EDA-31D56017A60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185735" y="5586031"/>
            <a:ext cx="418456" cy="418456"/>
          </a:xfrm>
          <a:prstGeom prst="rect">
            <a:avLst/>
          </a:prstGeom>
        </xdr:spPr>
      </xdr:pic>
    </xdr:grpSp>
    <xdr:clientData/>
  </xdr:twoCellAnchor>
  <xdr:twoCellAnchor>
    <xdr:from>
      <xdr:col>3</xdr:col>
      <xdr:colOff>289485</xdr:colOff>
      <xdr:row>31</xdr:row>
      <xdr:rowOff>121396</xdr:rowOff>
    </xdr:from>
    <xdr:to>
      <xdr:col>4</xdr:col>
      <xdr:colOff>112059</xdr:colOff>
      <xdr:row>33</xdr:row>
      <xdr:rowOff>93382</xdr:rowOff>
    </xdr:to>
    <xdr:grpSp>
      <xdr:nvGrpSpPr>
        <xdr:cNvPr id="242" name="Group 241">
          <a:extLst>
            <a:ext uri="{FF2B5EF4-FFF2-40B4-BE49-F238E27FC236}">
              <a16:creationId xmlns:a16="http://schemas.microsoft.com/office/drawing/2014/main" id="{E3820537-4CEF-23E3-028E-CFB3EA5B179A}"/>
            </a:ext>
          </a:extLst>
        </xdr:cNvPr>
        <xdr:cNvGrpSpPr/>
      </xdr:nvGrpSpPr>
      <xdr:grpSpPr>
        <a:xfrm>
          <a:off x="2123929" y="6788896"/>
          <a:ext cx="351741" cy="348282"/>
          <a:chOff x="16799486" y="4510368"/>
          <a:chExt cx="457200" cy="457200"/>
        </a:xfrm>
      </xdr:grpSpPr>
      <xdr:sp macro="" textlink="">
        <xdr:nvSpPr>
          <xdr:cNvPr id="238" name="Flowchart: Connector 237">
            <a:extLst>
              <a:ext uri="{FF2B5EF4-FFF2-40B4-BE49-F238E27FC236}">
                <a16:creationId xmlns:a16="http://schemas.microsoft.com/office/drawing/2014/main" id="{1A97F94C-D831-891B-9E86-816D0CB8067C}"/>
              </a:ext>
            </a:extLst>
          </xdr:cNvPr>
          <xdr:cNvSpPr/>
        </xdr:nvSpPr>
        <xdr:spPr>
          <a:xfrm>
            <a:off x="16799486" y="4510368"/>
            <a:ext cx="457200" cy="457200"/>
          </a:xfrm>
          <a:prstGeom prst="flowChartConnector">
            <a:avLst/>
          </a:prstGeom>
          <a:solidFill>
            <a:srgbClr val="85998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226" name="Picture 225">
            <a:extLst>
              <a:ext uri="{FF2B5EF4-FFF2-40B4-BE49-F238E27FC236}">
                <a16:creationId xmlns:a16="http://schemas.microsoft.com/office/drawing/2014/main" id="{25CB1E59-7914-CD14-B352-26D6FAE93BA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6855517" y="4557058"/>
            <a:ext cx="336177" cy="336177"/>
          </a:xfrm>
          <a:prstGeom prst="rect">
            <a:avLst/>
          </a:prstGeom>
        </xdr:spPr>
      </xdr:pic>
    </xdr:grpSp>
    <xdr:clientData/>
  </xdr:twoCellAnchor>
  <xdr:twoCellAnchor>
    <xdr:from>
      <xdr:col>3</xdr:col>
      <xdr:colOff>289485</xdr:colOff>
      <xdr:row>22</xdr:row>
      <xdr:rowOff>149412</xdr:rowOff>
    </xdr:from>
    <xdr:to>
      <xdr:col>4</xdr:col>
      <xdr:colOff>112060</xdr:colOff>
      <xdr:row>24</xdr:row>
      <xdr:rowOff>130735</xdr:rowOff>
    </xdr:to>
    <xdr:grpSp>
      <xdr:nvGrpSpPr>
        <xdr:cNvPr id="237" name="Group 236">
          <a:extLst>
            <a:ext uri="{FF2B5EF4-FFF2-40B4-BE49-F238E27FC236}">
              <a16:creationId xmlns:a16="http://schemas.microsoft.com/office/drawing/2014/main" id="{60BC3351-6FD3-C92B-644A-646819E337B3}"/>
            </a:ext>
          </a:extLst>
        </xdr:cNvPr>
        <xdr:cNvGrpSpPr/>
      </xdr:nvGrpSpPr>
      <xdr:grpSpPr>
        <a:xfrm>
          <a:off x="2123929" y="5123579"/>
          <a:ext cx="351742" cy="357619"/>
          <a:chOff x="15529484" y="3343088"/>
          <a:chExt cx="392205" cy="392206"/>
        </a:xfrm>
      </xdr:grpSpPr>
      <xdr:sp macro="" textlink="">
        <xdr:nvSpPr>
          <xdr:cNvPr id="236" name="Flowchart: Connector 235">
            <a:extLst>
              <a:ext uri="{FF2B5EF4-FFF2-40B4-BE49-F238E27FC236}">
                <a16:creationId xmlns:a16="http://schemas.microsoft.com/office/drawing/2014/main" id="{B623EE8E-B8B6-2C51-FCD3-D2B4E2994A61}"/>
              </a:ext>
            </a:extLst>
          </xdr:cNvPr>
          <xdr:cNvSpPr/>
        </xdr:nvSpPr>
        <xdr:spPr>
          <a:xfrm>
            <a:off x="15529484" y="3343088"/>
            <a:ext cx="392205" cy="392206"/>
          </a:xfrm>
          <a:prstGeom prst="flowChartConnector">
            <a:avLst/>
          </a:prstGeom>
          <a:solidFill>
            <a:srgbClr val="85998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228" name="Picture 227">
            <a:extLst>
              <a:ext uri="{FF2B5EF4-FFF2-40B4-BE49-F238E27FC236}">
                <a16:creationId xmlns:a16="http://schemas.microsoft.com/office/drawing/2014/main" id="{63567B79-0762-391F-F1CE-A0E879A4418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5566840" y="3389780"/>
            <a:ext cx="308161" cy="308161"/>
          </a:xfrm>
          <a:prstGeom prst="rect">
            <a:avLst/>
          </a:prstGeom>
        </xdr:spPr>
      </xdr:pic>
    </xdr:grpSp>
    <xdr:clientData/>
  </xdr:twoCellAnchor>
  <xdr:twoCellAnchor>
    <xdr:from>
      <xdr:col>3</xdr:col>
      <xdr:colOff>289485</xdr:colOff>
      <xdr:row>25</xdr:row>
      <xdr:rowOff>112057</xdr:rowOff>
    </xdr:from>
    <xdr:to>
      <xdr:col>4</xdr:col>
      <xdr:colOff>112059</xdr:colOff>
      <xdr:row>27</xdr:row>
      <xdr:rowOff>93382</xdr:rowOff>
    </xdr:to>
    <xdr:grpSp>
      <xdr:nvGrpSpPr>
        <xdr:cNvPr id="244" name="Group 243">
          <a:extLst>
            <a:ext uri="{FF2B5EF4-FFF2-40B4-BE49-F238E27FC236}">
              <a16:creationId xmlns:a16="http://schemas.microsoft.com/office/drawing/2014/main" id="{5F680A54-8529-2280-15A5-546264920EC4}"/>
            </a:ext>
          </a:extLst>
        </xdr:cNvPr>
        <xdr:cNvGrpSpPr/>
      </xdr:nvGrpSpPr>
      <xdr:grpSpPr>
        <a:xfrm>
          <a:off x="2123929" y="5650668"/>
          <a:ext cx="351741" cy="357621"/>
          <a:chOff x="15109264" y="2698749"/>
          <a:chExt cx="410883" cy="429560"/>
        </a:xfrm>
      </xdr:grpSpPr>
      <xdr:sp macro="" textlink="">
        <xdr:nvSpPr>
          <xdr:cNvPr id="239" name="Flowchart: Connector 238">
            <a:extLst>
              <a:ext uri="{FF2B5EF4-FFF2-40B4-BE49-F238E27FC236}">
                <a16:creationId xmlns:a16="http://schemas.microsoft.com/office/drawing/2014/main" id="{EDF38F42-30A0-4EFB-8DE5-73E549A8D154}"/>
              </a:ext>
            </a:extLst>
          </xdr:cNvPr>
          <xdr:cNvSpPr/>
        </xdr:nvSpPr>
        <xdr:spPr>
          <a:xfrm>
            <a:off x="15109264" y="2698749"/>
            <a:ext cx="410883" cy="429560"/>
          </a:xfrm>
          <a:prstGeom prst="flowChartConnector">
            <a:avLst/>
          </a:prstGeom>
          <a:solidFill>
            <a:srgbClr val="85998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43" name="Group 242">
            <a:extLst>
              <a:ext uri="{FF2B5EF4-FFF2-40B4-BE49-F238E27FC236}">
                <a16:creationId xmlns:a16="http://schemas.microsoft.com/office/drawing/2014/main" id="{A2955868-9638-C1D7-B487-A560E36901BC}"/>
              </a:ext>
            </a:extLst>
          </xdr:cNvPr>
          <xdr:cNvGrpSpPr/>
        </xdr:nvGrpSpPr>
        <xdr:grpSpPr>
          <a:xfrm>
            <a:off x="15137280" y="2745441"/>
            <a:ext cx="317500" cy="345515"/>
            <a:chOff x="15137279" y="2745441"/>
            <a:chExt cx="340663" cy="392206"/>
          </a:xfrm>
        </xdr:grpSpPr>
        <xdr:pic>
          <xdr:nvPicPr>
            <xdr:cNvPr id="230" name="Picture 229">
              <a:extLst>
                <a:ext uri="{FF2B5EF4-FFF2-40B4-BE49-F238E27FC236}">
                  <a16:creationId xmlns:a16="http://schemas.microsoft.com/office/drawing/2014/main" id="{B6EFCA62-5619-2848-EFAB-891EFFB932FF}"/>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5249339" y="2745441"/>
              <a:ext cx="228603" cy="228603"/>
            </a:xfrm>
            <a:prstGeom prst="rect">
              <a:avLst/>
            </a:prstGeom>
          </xdr:spPr>
        </xdr:pic>
        <xdr:pic>
          <xdr:nvPicPr>
            <xdr:cNvPr id="232" name="Picture 231">
              <a:extLst>
                <a:ext uri="{FF2B5EF4-FFF2-40B4-BE49-F238E27FC236}">
                  <a16:creationId xmlns:a16="http://schemas.microsoft.com/office/drawing/2014/main" id="{3D360AC1-7A29-5261-D9A0-F248EBC6508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5137279" y="2829485"/>
              <a:ext cx="308162" cy="308162"/>
            </a:xfrm>
            <a:prstGeom prst="rect">
              <a:avLst/>
            </a:prstGeom>
          </xdr:spPr>
        </xdr:pic>
      </xdr:grpSp>
    </xdr:grpSp>
    <xdr:clientData/>
  </xdr:twoCellAnchor>
  <xdr:twoCellAnchor>
    <xdr:from>
      <xdr:col>3</xdr:col>
      <xdr:colOff>298824</xdr:colOff>
      <xdr:row>34</xdr:row>
      <xdr:rowOff>103469</xdr:rowOff>
    </xdr:from>
    <xdr:to>
      <xdr:col>4</xdr:col>
      <xdr:colOff>152400</xdr:colOff>
      <xdr:row>36</xdr:row>
      <xdr:rowOff>114301</xdr:rowOff>
    </xdr:to>
    <xdr:grpSp>
      <xdr:nvGrpSpPr>
        <xdr:cNvPr id="249" name="Group 248">
          <a:extLst>
            <a:ext uri="{FF2B5EF4-FFF2-40B4-BE49-F238E27FC236}">
              <a16:creationId xmlns:a16="http://schemas.microsoft.com/office/drawing/2014/main" id="{6002DEFD-98B3-81D8-85CE-506196AE1097}"/>
            </a:ext>
          </a:extLst>
        </xdr:cNvPr>
        <xdr:cNvGrpSpPr/>
      </xdr:nvGrpSpPr>
      <xdr:grpSpPr>
        <a:xfrm>
          <a:off x="2133268" y="7335413"/>
          <a:ext cx="382743" cy="387129"/>
          <a:chOff x="15230662" y="4043455"/>
          <a:chExt cx="504264" cy="532279"/>
        </a:xfrm>
      </xdr:grpSpPr>
      <xdr:sp macro="" textlink="">
        <xdr:nvSpPr>
          <xdr:cNvPr id="241" name="Flowchart: Connector 240">
            <a:extLst>
              <a:ext uri="{FF2B5EF4-FFF2-40B4-BE49-F238E27FC236}">
                <a16:creationId xmlns:a16="http://schemas.microsoft.com/office/drawing/2014/main" id="{E6E6FB85-0A3B-4737-9C24-73FB0FA2F256}"/>
              </a:ext>
            </a:extLst>
          </xdr:cNvPr>
          <xdr:cNvSpPr/>
        </xdr:nvSpPr>
        <xdr:spPr>
          <a:xfrm>
            <a:off x="15230662" y="4043455"/>
            <a:ext cx="504264" cy="532279"/>
          </a:xfrm>
          <a:prstGeom prst="flowChartConnector">
            <a:avLst/>
          </a:prstGeom>
          <a:solidFill>
            <a:srgbClr val="85998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246" name="Picture 245">
            <a:extLst>
              <a:ext uri="{FF2B5EF4-FFF2-40B4-BE49-F238E27FC236}">
                <a16:creationId xmlns:a16="http://schemas.microsoft.com/office/drawing/2014/main" id="{0F133627-9FCB-17EC-E5E8-4EE1A4724DE2}"/>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5286688" y="4080806"/>
            <a:ext cx="382869" cy="442428"/>
          </a:xfrm>
          <a:prstGeom prst="rect">
            <a:avLst/>
          </a:prstGeom>
        </xdr:spPr>
      </xdr:pic>
    </xdr:grp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ssaTA" refreshedDate="45910.708989930557" backgroundQuery="1" createdVersion="8" refreshedVersion="8" minRefreshableVersion="3" recordCount="0" supportSubquery="1" supportAdvancedDrill="1" xr:uid="{0BCDAE24-D253-45E3-A823-C935CB7516FD}">
  <cacheSource type="external" connectionId="1"/>
  <cacheFields count="3">
    <cacheField name="[Measures].[Sum of Profit]" caption="Sum of Profit" numFmtId="0" hierarchy="18" level="32767"/>
    <cacheField name="[sales].[Region].[Region]" caption="Region" numFmtId="0" hierarchy="4" level="1">
      <sharedItems count="4">
        <s v="East"/>
        <s v="North"/>
        <s v="South"/>
        <s v="West"/>
      </sharedItems>
    </cacheField>
    <cacheField name="[sales].[Customer Type].[Customer Type]" caption="Customer Type" numFmtId="0" hierarchy="13" level="1">
      <sharedItems containsSemiMixedTypes="0" containsNonDate="0" containsString="0"/>
    </cacheField>
  </cacheFields>
  <cacheHierarchies count="22">
    <cacheHierarchy uniqueName="[sales].[Date]" caption="Date" attribute="1" time="1" defaultMemberUniqueName="[sales].[Date].[All]" allUniqueName="[sales].[Date].[All]" dimensionUniqueName="[sales]" displayFolder="" count="2" memberValueDatatype="7" unbalanced="0"/>
    <cacheHierarchy uniqueName="[sales].[Product Name]" caption="Product Name" attribute="1" defaultMemberUniqueName="[sales].[Product Name].[All]" allUniqueName="[sales].[Product Name].[All]" dimensionUniqueName="[sales]" displayFolder="" count="2" memberValueDatatype="130" unbalanced="0"/>
    <cacheHierarchy uniqueName="[sales].[Category]" caption="Category" attribute="1" defaultMemberUniqueName="[sales].[Category].[All]" allUniqueName="[sales].[Category].[All]" dimensionUniqueName="[sales]" displayFolder="" count="2" memberValueDatatype="130" unbalanced="0"/>
    <cacheHierarchy uniqueName="[sales].[Sales Representative]" caption="Sales Representative" attribute="1" defaultMemberUniqueName="[sales].[Sales Representative].[All]" allUniqueName="[sales].[Sales Representative].[All]" dimensionUniqueName="[sales]" displayFolder="" count="2" memberValueDatatype="130" unbalanced="0"/>
    <cacheHierarchy uniqueName="[sales].[Region]" caption="Region" attribute="1" defaultMemberUniqueName="[sales].[Region].[All]" allUniqueName="[sales].[Region].[All]" dimensionUniqueName="[sales]" displayFolder="" count="2" memberValueDatatype="130" unbalanced="0">
      <fieldsUsage count="2">
        <fieldUsage x="-1"/>
        <fieldUsage x="1"/>
      </fieldsUsage>
    </cacheHierarchy>
    <cacheHierarchy uniqueName="[sales].[Quantity Sold]" caption="Quantity Sold" attribute="1" defaultMemberUniqueName="[sales].[Quantity Sold].[All]" allUniqueName="[sales].[Quantity Sold].[All]" dimensionUniqueName="[sales]" displayFolder="" count="2" memberValueDatatype="20" unbalanced="0"/>
    <cacheHierarchy uniqueName="[sales].[Unit Price]" caption="Unit Price" attribute="1" defaultMemberUniqueName="[sales].[Unit Price].[All]" allUniqueName="[sales].[Unit Price].[All]" dimensionUniqueName="[sales]" displayFolder="" count="2" memberValueDatatype="5" unbalanced="0"/>
    <cacheHierarchy uniqueName="[sales].[Total Sale]" caption="Total Sale" attribute="1" defaultMemberUniqueName="[sales].[Total Sale].[All]" allUniqueName="[sales].[Total Sale].[All]" dimensionUniqueName="[sales]" displayFolder="" count="2" memberValueDatatype="5" unbalanced="0"/>
    <cacheHierarchy uniqueName="[sales].[Cost Price]" caption="Cost Price" attribute="1" defaultMemberUniqueName="[sales].[Cost Price].[All]" allUniqueName="[sales].[Cost Price].[All]" dimensionUniqueName="[sales]" displayFolder="" count="2" memberValueDatatype="5" unbalanced="0"/>
    <cacheHierarchy uniqueName="[sales].[Profit]" caption="Profit" attribute="1" defaultMemberUniqueName="[sales].[Profit].[All]" allUniqueName="[sales].[Profit].[All]" dimensionUniqueName="[sales]" displayFolder="" count="2" memberValueDatatype="5" unbalanced="0"/>
    <cacheHierarchy uniqueName="[sales].[Payment Method]" caption="Payment Method" attribute="1" defaultMemberUniqueName="[sales].[Payment Method].[All]" allUniqueName="[sales].[Payment Method].[All]" dimensionUniqueName="[sales]" displayFolder="" count="2" memberValueDatatype="130" unbalanced="0"/>
    <cacheHierarchy uniqueName="[sales].[Order Status]" caption="Order Status" attribute="1" defaultMemberUniqueName="[sales].[Order Status].[All]" allUniqueName="[sales].[Order Status].[All]" dimensionUniqueName="[sales]" displayFolder="" count="2" memberValueDatatype="130" unbalanced="0"/>
    <cacheHierarchy uniqueName="[sales].[Region Manager]" caption="Region Manager" attribute="1" defaultMemberUniqueName="[sales].[Region Manager].[All]" allUniqueName="[sales].[Region Manager].[All]" dimensionUniqueName="[sales]" displayFolder="" count="2" memberValueDatatype="130" unbalanced="0"/>
    <cacheHierarchy uniqueName="[sales].[Customer Type]" caption="Customer Type" attribute="1" defaultMemberUniqueName="[sales].[Customer Type].[All]" allUniqueName="[sales].[Customer Type].[All]" dimensionUniqueName="[sales]" displayFolder="" count="2" memberValueDatatype="130" unbalanced="0">
      <fieldsUsage count="2">
        <fieldUsage x="-1"/>
        <fieldUsage x="2"/>
      </fieldsUsage>
    </cacheHierarchy>
    <cacheHierarchy uniqueName="[sales].[Date (Month)]" caption="Date (Month)" attribute="1" defaultMemberUniqueName="[sales].[Date (Month)].[All]" allUniqueName="[sales].[Date (Month)].[All]" dimensionUniqueName="[sales]" displayFolder="" count="2" memberValueDatatype="130" unbalanced="0"/>
    <cacheHierarchy uniqueName="[sales].[Date (Month Index)]" caption="Date (Month Index)" attribute="1" defaultMemberUniqueName="[sales].[Date (Month Index)].[All]" allUniqueName="[sales].[Date (Month Index)].[All]" dimensionUniqueName="[sales]" displayFolder="" count="2" memberValueDatatype="20" unbalanced="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Profit]" caption="Sum of Profit" measure="1" displayFolder="" measureGroup="sales"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Total Sale]" caption="Sum of Total Sale" measure="1" displayFolder="" measureGroup="sales" count="0" hidden="1">
      <extLst>
        <ext xmlns:x15="http://schemas.microsoft.com/office/spreadsheetml/2010/11/main" uri="{B97F6D7D-B522-45F9-BDA1-12C45D357490}">
          <x15:cacheHierarchy aggregatedColumn="7"/>
        </ext>
      </extLst>
    </cacheHierarchy>
    <cacheHierarchy uniqueName="[Measures].[Count of Product Name]" caption="Count of Product Name" measure="1" displayFolder="" measureGroup="sales" count="0" hidden="1">
      <extLst>
        <ext xmlns:x15="http://schemas.microsoft.com/office/spreadsheetml/2010/11/main" uri="{B97F6D7D-B522-45F9-BDA1-12C45D357490}">
          <x15:cacheHierarchy aggregatedColumn="1"/>
        </ext>
      </extLst>
    </cacheHierarchy>
    <cacheHierarchy uniqueName="[Measures].[Sum of Quantity Sold]" caption="Sum of Quantity Sold" measure="1" displayFolder="" measureGroup="sales"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ssaTA" refreshedDate="45910.708990856481" backgroundQuery="1" createdVersion="8" refreshedVersion="8" minRefreshableVersion="3" recordCount="0" supportSubquery="1" supportAdvancedDrill="1" xr:uid="{2C4D59CD-21E4-4CD4-A606-ED5F43F7DD63}">
  <cacheSource type="external" connectionId="1"/>
  <cacheFields count="4">
    <cacheField name="[sales].[Order Status].[Order Status]" caption="Order Status" numFmtId="0" hierarchy="11" level="1">
      <sharedItems count="3">
        <s v="Cancelled"/>
        <s v="Completed"/>
        <s v="Pending"/>
      </sharedItems>
    </cacheField>
    <cacheField name="[Measures].[Count of Product Name]" caption="Count of Product Name" numFmtId="0" hierarchy="20" level="32767"/>
    <cacheField name="[Measures].[Sum of Quantity Sold]" caption="Sum of Quantity Sold" numFmtId="0" hierarchy="21" level="32767"/>
    <cacheField name="[sales].[Customer Type].[Customer Type]" caption="Customer Type" numFmtId="0" hierarchy="13" level="1">
      <sharedItems containsSemiMixedTypes="0" containsNonDate="0" containsString="0"/>
    </cacheField>
  </cacheFields>
  <cacheHierarchies count="22">
    <cacheHierarchy uniqueName="[sales].[Date]" caption="Date" attribute="1" time="1" defaultMemberUniqueName="[sales].[Date].[All]" allUniqueName="[sales].[Date].[All]" dimensionUniqueName="[sales]" displayFolder="" count="0" memberValueDatatype="7" unbalanced="0"/>
    <cacheHierarchy uniqueName="[sales].[Product Name]" caption="Product Name" attribute="1" defaultMemberUniqueName="[sales].[Product Name].[All]" allUniqueName="[sales].[Product Name].[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ales Representative]" caption="Sales Representative" attribute="1" defaultMemberUniqueName="[sales].[Sales Representative].[All]" allUniqueName="[sales].[Sales Representative].[All]" dimensionUniqueName="[sales]" displayFolder="" count="0" memberValueDatatype="130" unbalanced="0"/>
    <cacheHierarchy uniqueName="[sales].[Region]" caption="Region" attribute="1" defaultMemberUniqueName="[sales].[Region].[All]" allUniqueName="[sales].[Region].[All]" dimensionUniqueName="[sales]" displayFolder="" count="2" memberValueDatatype="130" unbalanced="0"/>
    <cacheHierarchy uniqueName="[sales].[Quantity Sold]" caption="Quantity Sold" attribute="1" defaultMemberUniqueName="[sales].[Quantity Sold].[All]" allUniqueName="[sales].[Quantity Sold].[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Total Sale]" caption="Total Sale" attribute="1" defaultMemberUniqueName="[sales].[Total Sale].[All]" allUniqueName="[sales].[Total Sale].[All]" dimensionUniqueName="[sales]" displayFolder="" count="0" memberValueDatatype="5" unbalanced="0"/>
    <cacheHierarchy uniqueName="[sales].[Cost Price]" caption="Cost Price" attribute="1" defaultMemberUniqueName="[sales].[Cost Price].[All]" allUniqueName="[sales].[Cost Price].[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ethod]" caption="Payment Method" attribute="1" defaultMemberUniqueName="[sales].[Payment Method].[All]" allUniqueName="[sales].[Payment Method].[All]" dimensionUniqueName="[sales]" displayFolder="" count="2" memberValueDatatype="130" unbalanced="0"/>
    <cacheHierarchy uniqueName="[sales].[Order Status]" caption="Order Status" attribute="1" defaultMemberUniqueName="[sales].[Order Status].[All]" allUniqueName="[sales].[Order Status].[All]" dimensionUniqueName="[sales]" displayFolder="" count="2" memberValueDatatype="130" unbalanced="0">
      <fieldsUsage count="2">
        <fieldUsage x="-1"/>
        <fieldUsage x="0"/>
      </fieldsUsage>
    </cacheHierarchy>
    <cacheHierarchy uniqueName="[sales].[Region Manager]" caption="Region Manager" attribute="1" defaultMemberUniqueName="[sales].[Region Manager].[All]" allUniqueName="[sales].[Region Manager].[All]" dimensionUniqueName="[sales]" displayFolder="" count="0" memberValueDatatype="130" unbalanced="0"/>
    <cacheHierarchy uniqueName="[sales].[Customer Type]" caption="Customer Type" attribute="1" defaultMemberUniqueName="[sales].[Customer Type].[All]" allUniqueName="[sales].[Customer Type].[All]" dimensionUniqueName="[sales]" displayFolder="" count="2" memberValueDatatype="130" unbalanced="0">
      <fieldsUsage count="2">
        <fieldUsage x="-1"/>
        <fieldUsage x="3"/>
      </fieldsUsage>
    </cacheHierarchy>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9"/>
        </ext>
      </extLst>
    </cacheHierarchy>
    <cacheHierarchy uniqueName="[Measures].[Sum of Total Sale]" caption="Sum of Total Sale" measure="1" displayFolder="" measureGroup="sales" count="0" hidden="1">
      <extLst>
        <ext xmlns:x15="http://schemas.microsoft.com/office/spreadsheetml/2010/11/main" uri="{B97F6D7D-B522-45F9-BDA1-12C45D357490}">
          <x15:cacheHierarchy aggregatedColumn="7"/>
        </ext>
      </extLst>
    </cacheHierarchy>
    <cacheHierarchy uniqueName="[Measures].[Count of Product Name]" caption="Count of Product Name" measure="1" displayFolder="" measureGroup="sales"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Quantity Sold]" caption="Sum of Quantity Sold" measure="1" displayFolder="" measureGroup="sales" count="0" oneField="1" hidden="1">
      <fieldsUsage count="1">
        <fieldUsage x="2"/>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ssaTA" refreshedDate="45910.708991898151" backgroundQuery="1" createdVersion="8" refreshedVersion="8" minRefreshableVersion="3" recordCount="0" supportSubquery="1" supportAdvancedDrill="1" xr:uid="{52881EF7-27A7-42B0-B133-A4E9DDD9B294}">
  <cacheSource type="external" connectionId="1"/>
  <cacheFields count="5">
    <cacheField name="[Measures].[Sum of Total Sale]" caption="Sum of Total Sale" numFmtId="0" hierarchy="19" level="32767"/>
    <cacheField name="[sales].[Region Manager].[Region Manager]" caption="Region Manager" numFmtId="0" hierarchy="12" level="1">
      <sharedItems count="4">
        <s v="Lisa White"/>
        <s v="Mark Davis"/>
        <s v="Sarah Johnson"/>
        <s v="Tom Brown"/>
      </sharedItems>
    </cacheField>
    <cacheField name="[sales].[Date].[Date]" caption="Date" numFmtId="0" level="1">
      <sharedItems containsSemiMixedTypes="0" containsNonDate="0" containsDate="1" containsString="0" minDate="2024-01-04T00:00:00" maxDate="2024-12-11T00:00:00" count="119">
        <d v="2024-01-04T00:00:00"/>
        <d v="2024-01-12T00:00:00"/>
        <d v="2024-01-13T00:00:00"/>
        <d v="2024-01-14T00:00:00"/>
        <d v="2024-01-15T00:00:00"/>
        <d v="2024-01-18T00:00:00"/>
        <d v="2024-01-20T00:00:00"/>
        <d v="2024-01-22T00:00:00"/>
        <d v="2024-01-23T00:00:00"/>
        <d v="2024-01-27T00:00:00"/>
        <d v="2024-01-30T00:00:00"/>
        <d v="2024-01-31T00:00:00"/>
        <d v="2024-02-03T00:00:00"/>
        <d v="2024-02-06T00:00:00"/>
        <d v="2024-02-07T00:00:00"/>
        <d v="2024-02-08T00:00:00"/>
        <d v="2024-02-10T00:00:00"/>
        <d v="2024-02-12T00:00:00"/>
        <d v="2024-02-19T00:00:00"/>
        <d v="2024-02-24T00:00:00"/>
        <d v="2024-02-29T00:00:00"/>
        <d v="2024-03-05T00:00:00"/>
        <d v="2024-03-06T00:00:00"/>
        <d v="2024-03-08T00:00:00"/>
        <d v="2024-03-13T00:00:00"/>
        <d v="2024-03-14T00:00:00"/>
        <d v="2024-03-16T00:00:00"/>
        <d v="2024-03-18T00:00:00"/>
        <d v="2024-03-20T00:00:00"/>
        <d v="2024-03-21T00:00:00"/>
        <d v="2024-03-22T00:00:00"/>
        <d v="2024-03-29T00:00:00"/>
        <d v="2024-03-31T00:00:00"/>
        <d v="2024-04-02T00:00:00"/>
        <d v="2024-04-05T00:00:00"/>
        <d v="2024-04-07T00:00:00"/>
        <d v="2024-04-11T00:00:00"/>
        <d v="2024-04-13T00:00:00"/>
        <d v="2024-04-14T00:00:00"/>
        <d v="2024-04-17T00:00:00"/>
        <d v="2024-04-20T00:00:00"/>
        <d v="2024-04-21T00:00:00"/>
        <d v="2024-04-24T00:00:00"/>
        <d v="2024-04-26T00:00:00"/>
        <d v="2024-04-27T00:00:00"/>
        <d v="2024-04-30T00:00:00"/>
        <d v="2024-05-04T00:00:00"/>
        <d v="2024-05-09T00:00:00"/>
        <d v="2024-05-11T00:00:00"/>
        <d v="2024-05-13T00:00:00"/>
        <d v="2024-05-18T00:00:00"/>
        <d v="2024-05-19T00:00:00"/>
        <d v="2024-05-24T00:00:00"/>
        <d v="2024-05-25T00:00:00"/>
        <d v="2024-05-26T00:00:00"/>
        <d v="2024-05-30T00:00:00"/>
        <d v="2024-06-01T00:00:00"/>
        <d v="2024-06-06T00:00:00"/>
        <d v="2024-06-07T00:00:00"/>
        <d v="2024-06-09T00:00:00"/>
        <d v="2024-06-17T00:00:00"/>
        <d v="2024-06-18T00:00:00"/>
        <d v="2024-06-19T00:00:00"/>
        <d v="2024-06-23T00:00:00"/>
        <d v="2024-06-26T00:00:00"/>
        <d v="2024-06-28T00:00:00"/>
        <d v="2024-06-30T00:00:00"/>
        <d v="2024-07-10T00:00:00"/>
        <d v="2024-07-11T00:00:00"/>
        <d v="2024-07-13T00:00:00"/>
        <d v="2024-07-16T00:00:00"/>
        <d v="2024-07-17T00:00:00"/>
        <d v="2024-07-18T00:00:00"/>
        <d v="2024-07-24T00:00:00"/>
        <d v="2024-07-28T00:00:00"/>
        <d v="2024-07-29T00:00:00"/>
        <d v="2024-08-04T00:00:00"/>
        <d v="2024-08-06T00:00:00"/>
        <d v="2024-08-07T00:00:00"/>
        <d v="2024-08-09T00:00:00"/>
        <d v="2024-08-10T00:00:00"/>
        <d v="2024-08-23T00:00:00"/>
        <d v="2024-08-25T00:00:00"/>
        <d v="2024-08-26T00:00:00"/>
        <d v="2024-08-28T00:00:00"/>
        <d v="2024-08-29T00:00:00"/>
        <d v="2024-09-01T00:00:00"/>
        <d v="2024-09-02T00:00:00"/>
        <d v="2024-09-03T00:00:00"/>
        <d v="2024-09-05T00:00:00"/>
        <d v="2024-09-08T00:00:00"/>
        <d v="2024-09-09T00:00:00"/>
        <d v="2024-09-10T00:00:00"/>
        <d v="2024-09-14T00:00:00"/>
        <d v="2024-09-17T00:00:00"/>
        <d v="2024-09-20T00:00:00"/>
        <d v="2024-09-23T00:00:00"/>
        <d v="2024-09-24T00:00:00"/>
        <d v="2024-09-26T00:00:00"/>
        <d v="2024-09-28T00:00:00"/>
        <d v="2024-09-30T00:00:00"/>
        <d v="2024-10-01T00:00:00"/>
        <d v="2024-10-04T00:00:00"/>
        <d v="2024-10-06T00:00:00"/>
        <d v="2024-10-13T00:00:00"/>
        <d v="2024-10-14T00:00:00"/>
        <d v="2024-10-22T00:00:00"/>
        <d v="2024-10-30T00:00:00"/>
        <d v="2024-11-01T00:00:00"/>
        <d v="2024-11-04T00:00:00"/>
        <d v="2024-11-08T00:00:00"/>
        <d v="2024-11-09T00:00:00"/>
        <d v="2024-11-14T00:00:00"/>
        <d v="2024-11-18T00:00:00"/>
        <d v="2024-11-19T00:00:00"/>
        <d v="2024-11-21T00:00:00"/>
        <d v="2024-12-01T00:00:00"/>
        <d v="2024-12-07T00:00:00"/>
        <d v="2024-12-10T00:00:00"/>
      </sharedItems>
    </cacheField>
    <cacheField name="[sales].[Date (Month)].[Date (Month)]" caption="Date (Month)" numFmtId="0" hierarchy="14" level="1">
      <sharedItems count="12">
        <s v="Jan"/>
        <s v="Feb"/>
        <s v="Mar"/>
        <s v="Apr"/>
        <s v="May"/>
        <s v="Jun"/>
        <s v="Jul"/>
        <s v="Aug"/>
        <s v="Sep"/>
        <s v="Oct"/>
        <s v="Nov"/>
        <s v="Dec"/>
      </sharedItems>
    </cacheField>
    <cacheField name="[sales].[Customer Type].[Customer Type]" caption="Customer Type" numFmtId="0" hierarchy="13" level="1">
      <sharedItems containsSemiMixedTypes="0" containsNonDate="0" containsString="0"/>
    </cacheField>
  </cacheFields>
  <cacheHierarchies count="22">
    <cacheHierarchy uniqueName="[sales].[Date]" caption="Date" attribute="1" time="1" defaultMemberUniqueName="[sales].[Date].[All]" allUniqueName="[sales].[Date].[All]" dimensionUniqueName="[sales]" displayFolder="" count="2" memberValueDatatype="7" unbalanced="0">
      <fieldsUsage count="2">
        <fieldUsage x="-1"/>
        <fieldUsage x="2"/>
      </fieldsUsage>
    </cacheHierarchy>
    <cacheHierarchy uniqueName="[sales].[Product Name]" caption="Product Name" attribute="1" defaultMemberUniqueName="[sales].[Product Name].[All]" allUniqueName="[sales].[Product Name].[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ales Representative]" caption="Sales Representative" attribute="1" defaultMemberUniqueName="[sales].[Sales Representative].[All]" allUniqueName="[sales].[Sales Representative].[All]" dimensionUniqueName="[sales]" displayFolder="" count="0" memberValueDatatype="130" unbalanced="0"/>
    <cacheHierarchy uniqueName="[sales].[Region]" caption="Region" attribute="1" defaultMemberUniqueName="[sales].[Region].[All]" allUniqueName="[sales].[Region].[All]" dimensionUniqueName="[sales]" displayFolder="" count="2" memberValueDatatype="130" unbalanced="0"/>
    <cacheHierarchy uniqueName="[sales].[Quantity Sold]" caption="Quantity Sold" attribute="1" defaultMemberUniqueName="[sales].[Quantity Sold].[All]" allUniqueName="[sales].[Quantity Sold].[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Total Sale]" caption="Total Sale" attribute="1" defaultMemberUniqueName="[sales].[Total Sale].[All]" allUniqueName="[sales].[Total Sale].[All]" dimensionUniqueName="[sales]" displayFolder="" count="0" memberValueDatatype="5" unbalanced="0"/>
    <cacheHierarchy uniqueName="[sales].[Cost Price]" caption="Cost Price" attribute="1" defaultMemberUniqueName="[sales].[Cost Price].[All]" allUniqueName="[sales].[Cost Price].[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ethod]" caption="Payment Method" attribute="1" defaultMemberUniqueName="[sales].[Payment Method].[All]" allUniqueName="[sales].[Payment Method].[All]" dimensionUniqueName="[sales]" displayFolder="" count="2" memberValueDatatype="130" unbalanced="0"/>
    <cacheHierarchy uniqueName="[sales].[Order Status]" caption="Order Status" attribute="1" defaultMemberUniqueName="[sales].[Order Status].[All]" allUniqueName="[sales].[Order Status].[All]" dimensionUniqueName="[sales]" displayFolder="" count="0" memberValueDatatype="130" unbalanced="0"/>
    <cacheHierarchy uniqueName="[sales].[Region Manager]" caption="Region Manager" attribute="1" defaultMemberUniqueName="[sales].[Region Manager].[All]" allUniqueName="[sales].[Region Manager].[All]" dimensionUniqueName="[sales]" displayFolder="" count="2" memberValueDatatype="130" unbalanced="0">
      <fieldsUsage count="2">
        <fieldUsage x="-1"/>
        <fieldUsage x="1"/>
      </fieldsUsage>
    </cacheHierarchy>
    <cacheHierarchy uniqueName="[sales].[Customer Type]" caption="Customer Type" attribute="1" defaultMemberUniqueName="[sales].[Customer Type].[All]" allUniqueName="[sales].[Customer Type].[All]" dimensionUniqueName="[sales]" displayFolder="" count="2" memberValueDatatype="130" unbalanced="0">
      <fieldsUsage count="2">
        <fieldUsage x="-1"/>
        <fieldUsage x="4"/>
      </fieldsUsage>
    </cacheHierarchy>
    <cacheHierarchy uniqueName="[sales].[Date (Month)]" caption="Date (Month)" attribute="1" defaultMemberUniqueName="[sales].[Date (Month)].[All]" allUniqueName="[sales].[Date (Month)].[All]" dimensionUniqueName="[sales]" displayFolder="" count="2" memberValueDatatype="130" unbalanced="0">
      <fieldsUsage count="2">
        <fieldUsage x="-1"/>
        <fieldUsage x="3"/>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9"/>
        </ext>
      </extLst>
    </cacheHierarchy>
    <cacheHierarchy uniqueName="[Measures].[Sum of Total Sale]" caption="Sum of Total Sale" measure="1" displayFolder="" measureGroup="sales"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Product Name]" caption="Count of Product Name" measure="1" displayFolder="" measureGroup="sales" count="0" hidden="1">
      <extLst>
        <ext xmlns:x15="http://schemas.microsoft.com/office/spreadsheetml/2010/11/main" uri="{B97F6D7D-B522-45F9-BDA1-12C45D357490}">
          <x15:cacheHierarchy aggregatedColumn="1"/>
        </ext>
      </extLst>
    </cacheHierarchy>
    <cacheHierarchy uniqueName="[Measures].[Sum of Quantity Sold]" caption="Sum of Quantity Sold" measure="1" displayFolder="" measureGroup="sales"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ssaTA" refreshedDate="45910.708992824075" backgroundQuery="1" createdVersion="8" refreshedVersion="8" minRefreshableVersion="3" recordCount="0" supportSubquery="1" supportAdvancedDrill="1" xr:uid="{96C88287-3E06-4F95-B4C9-913C0677B7FF}">
  <cacheSource type="external" connectionId="1"/>
  <cacheFields count="3">
    <cacheField name="[sales].[Category].[Category]" caption="Category" numFmtId="0" hierarchy="2" level="1">
      <sharedItems count="5">
        <s v="Beauty"/>
        <s v="Clothing"/>
        <s v="Electronics"/>
        <s v="Home Goods"/>
        <s v="Sports"/>
      </sharedItems>
    </cacheField>
    <cacheField name="[Measures].[Sum of Total Sale]" caption="Sum of Total Sale" numFmtId="0" hierarchy="19" level="32767"/>
    <cacheField name="[sales].[Customer Type].[Customer Type]" caption="Customer Type" numFmtId="0" hierarchy="13" level="1">
      <sharedItems containsSemiMixedTypes="0" containsNonDate="0" containsString="0"/>
    </cacheField>
  </cacheFields>
  <cacheHierarchies count="22">
    <cacheHierarchy uniqueName="[sales].[Date]" caption="Date" attribute="1" time="1" defaultMemberUniqueName="[sales].[Date].[All]" allUniqueName="[sales].[Date].[All]" dimensionUniqueName="[sales]" displayFolder="" count="0" memberValueDatatype="7" unbalanced="0"/>
    <cacheHierarchy uniqueName="[sales].[Product Name]" caption="Product Name" attribute="1" defaultMemberUniqueName="[sales].[Product Name].[All]" allUniqueName="[sales].[Product Name].[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Sales Representative]" caption="Sales Representative" attribute="1" defaultMemberUniqueName="[sales].[Sales Representative].[All]" allUniqueName="[sales].[Sales Representative].[All]" dimensionUniqueName="[sales]" displayFolder="" count="0" memberValueDatatype="130" unbalanced="0"/>
    <cacheHierarchy uniqueName="[sales].[Region]" caption="Region" attribute="1" defaultMemberUniqueName="[sales].[Region].[All]" allUniqueName="[sales].[Region].[All]" dimensionUniqueName="[sales]" displayFolder="" count="2" memberValueDatatype="130" unbalanced="0"/>
    <cacheHierarchy uniqueName="[sales].[Quantity Sold]" caption="Quantity Sold" attribute="1" defaultMemberUniqueName="[sales].[Quantity Sold].[All]" allUniqueName="[sales].[Quantity Sold].[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Total Sale]" caption="Total Sale" attribute="1" defaultMemberUniqueName="[sales].[Total Sale].[All]" allUniqueName="[sales].[Total Sale].[All]" dimensionUniqueName="[sales]" displayFolder="" count="0" memberValueDatatype="5" unbalanced="0"/>
    <cacheHierarchy uniqueName="[sales].[Cost Price]" caption="Cost Price" attribute="1" defaultMemberUniqueName="[sales].[Cost Price].[All]" allUniqueName="[sales].[Cost Price].[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ethod]" caption="Payment Method" attribute="1" defaultMemberUniqueName="[sales].[Payment Method].[All]" allUniqueName="[sales].[Payment Method].[All]" dimensionUniqueName="[sales]" displayFolder="" count="2" memberValueDatatype="130" unbalanced="0"/>
    <cacheHierarchy uniqueName="[sales].[Order Status]" caption="Order Status" attribute="1" defaultMemberUniqueName="[sales].[Order Status].[All]" allUniqueName="[sales].[Order Status].[All]" dimensionUniqueName="[sales]" displayFolder="" count="0" memberValueDatatype="130" unbalanced="0"/>
    <cacheHierarchy uniqueName="[sales].[Region Manager]" caption="Region Manager" attribute="1" defaultMemberUniqueName="[sales].[Region Manager].[All]" allUniqueName="[sales].[Region Manager].[All]" dimensionUniqueName="[sales]" displayFolder="" count="0" memberValueDatatype="130" unbalanced="0"/>
    <cacheHierarchy uniqueName="[sales].[Customer Type]" caption="Customer Type" attribute="1" defaultMemberUniqueName="[sales].[Customer Type].[All]" allUniqueName="[sales].[Customer Type].[All]" dimensionUniqueName="[sales]" displayFolder="" count="2" memberValueDatatype="130" unbalanced="0">
      <fieldsUsage count="2">
        <fieldUsage x="-1"/>
        <fieldUsage x="2"/>
      </fieldsUsage>
    </cacheHierarchy>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9"/>
        </ext>
      </extLst>
    </cacheHierarchy>
    <cacheHierarchy uniqueName="[Measures].[Sum of Total Sale]" caption="Sum of Total Sale" measure="1" displayFolder="" measureGroup="sales"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Product Name]" caption="Count of Product Name" measure="1" displayFolder="" measureGroup="sales" count="0" hidden="1">
      <extLst>
        <ext xmlns:x15="http://schemas.microsoft.com/office/spreadsheetml/2010/11/main" uri="{B97F6D7D-B522-45F9-BDA1-12C45D357490}">
          <x15:cacheHierarchy aggregatedColumn="1"/>
        </ext>
      </extLst>
    </cacheHierarchy>
    <cacheHierarchy uniqueName="[Measures].[Sum of Quantity Sold]" caption="Sum of Quantity Sold" measure="1" displayFolder="" measureGroup="sales"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ssaTA" refreshedDate="45910.708993865737" backgroundQuery="1" createdVersion="8" refreshedVersion="8" minRefreshableVersion="3" recordCount="0" supportSubquery="1" supportAdvancedDrill="1" xr:uid="{229DEDED-A640-49D9-8A9A-D92DB5B1E172}">
  <cacheSource type="external" connectionId="1"/>
  <cacheFields count="3">
    <cacheField name="[sales].[Region].[Region]" caption="Region" numFmtId="0" hierarchy="4" level="1">
      <sharedItems count="4">
        <s v="East"/>
        <s v="North"/>
        <s v="South"/>
        <s v="West"/>
      </sharedItems>
    </cacheField>
    <cacheField name="[Measures].[Sum of Total Sale]" caption="Sum of Total Sale" numFmtId="0" hierarchy="19" level="32767"/>
    <cacheField name="[sales].[Customer Type].[Customer Type]" caption="Customer Type" numFmtId="0" hierarchy="13" level="1">
      <sharedItems containsSemiMixedTypes="0" containsNonDate="0" containsString="0"/>
    </cacheField>
  </cacheFields>
  <cacheHierarchies count="22">
    <cacheHierarchy uniqueName="[sales].[Date]" caption="Date" attribute="1" time="1" defaultMemberUniqueName="[sales].[Date].[All]" allUniqueName="[sales].[Date].[All]" dimensionUniqueName="[sales]" displayFolder="" count="0" memberValueDatatype="7" unbalanced="0"/>
    <cacheHierarchy uniqueName="[sales].[Product Name]" caption="Product Name" attribute="1" defaultMemberUniqueName="[sales].[Product Name].[All]" allUniqueName="[sales].[Product Name].[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ales Representative]" caption="Sales Representative" attribute="1" defaultMemberUniqueName="[sales].[Sales Representative].[All]" allUniqueName="[sales].[Sales Representative].[All]" dimensionUniqueName="[sales]" displayFolder="" count="0" memberValueDatatype="130" unbalanced="0"/>
    <cacheHierarchy uniqueName="[sales].[Region]" caption="Region" attribute="1" defaultMemberUniqueName="[sales].[Region].[All]" allUniqueName="[sales].[Region].[All]" dimensionUniqueName="[sales]" displayFolder="" count="2" memberValueDatatype="130" unbalanced="0">
      <fieldsUsage count="2">
        <fieldUsage x="-1"/>
        <fieldUsage x="0"/>
      </fieldsUsage>
    </cacheHierarchy>
    <cacheHierarchy uniqueName="[sales].[Quantity Sold]" caption="Quantity Sold" attribute="1" defaultMemberUniqueName="[sales].[Quantity Sold].[All]" allUniqueName="[sales].[Quantity Sold].[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Total Sale]" caption="Total Sale" attribute="1" defaultMemberUniqueName="[sales].[Total Sale].[All]" allUniqueName="[sales].[Total Sale].[All]" dimensionUniqueName="[sales]" displayFolder="" count="0" memberValueDatatype="5" unbalanced="0"/>
    <cacheHierarchy uniqueName="[sales].[Cost Price]" caption="Cost Price" attribute="1" defaultMemberUniqueName="[sales].[Cost Price].[All]" allUniqueName="[sales].[Cost Price].[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ethod]" caption="Payment Method" attribute="1" defaultMemberUniqueName="[sales].[Payment Method].[All]" allUniqueName="[sales].[Payment Method].[All]" dimensionUniqueName="[sales]" displayFolder="" count="2" memberValueDatatype="130" unbalanced="0"/>
    <cacheHierarchy uniqueName="[sales].[Order Status]" caption="Order Status" attribute="1" defaultMemberUniqueName="[sales].[Order Status].[All]" allUniqueName="[sales].[Order Status].[All]" dimensionUniqueName="[sales]" displayFolder="" count="0" memberValueDatatype="130" unbalanced="0"/>
    <cacheHierarchy uniqueName="[sales].[Region Manager]" caption="Region Manager" attribute="1" defaultMemberUniqueName="[sales].[Region Manager].[All]" allUniqueName="[sales].[Region Manager].[All]" dimensionUniqueName="[sales]" displayFolder="" count="0" memberValueDatatype="130" unbalanced="0"/>
    <cacheHierarchy uniqueName="[sales].[Customer Type]" caption="Customer Type" attribute="1" defaultMemberUniqueName="[sales].[Customer Type].[All]" allUniqueName="[sales].[Customer Type].[All]" dimensionUniqueName="[sales]" displayFolder="" count="2" memberValueDatatype="130" unbalanced="0">
      <fieldsUsage count="2">
        <fieldUsage x="-1"/>
        <fieldUsage x="2"/>
      </fieldsUsage>
    </cacheHierarchy>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9"/>
        </ext>
      </extLst>
    </cacheHierarchy>
    <cacheHierarchy uniqueName="[Measures].[Sum of Total Sale]" caption="Sum of Total Sale" measure="1" displayFolder="" measureGroup="sales"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Product Name]" caption="Count of Product Name" measure="1" displayFolder="" measureGroup="sales" count="0" hidden="1">
      <extLst>
        <ext xmlns:x15="http://schemas.microsoft.com/office/spreadsheetml/2010/11/main" uri="{B97F6D7D-B522-45F9-BDA1-12C45D357490}">
          <x15:cacheHierarchy aggregatedColumn="1"/>
        </ext>
      </extLst>
    </cacheHierarchy>
    <cacheHierarchy uniqueName="[Measures].[Sum of Quantity Sold]" caption="Sum of Quantity Sold" measure="1" displayFolder="" measureGroup="sales"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ssaTA" refreshedDate="45910.708994675922" backgroundQuery="1" createdVersion="8" refreshedVersion="8" minRefreshableVersion="3" recordCount="0" supportSubquery="1" supportAdvancedDrill="1" xr:uid="{2DC35770-9C6A-45A5-9002-25F5FB743BE9}">
  <cacheSource type="external" connectionId="1"/>
  <cacheFields count="3">
    <cacheField name="[Measures].[Sum of Total Sale]" caption="Sum of Total Sale" numFmtId="0" hierarchy="19" level="32767"/>
    <cacheField name="[sales].[Region Manager].[Region Manager]" caption="Region Manager" numFmtId="0" hierarchy="12" level="1">
      <sharedItems count="4">
        <s v="Lisa White"/>
        <s v="Mark Davis"/>
        <s v="Sarah Johnson"/>
        <s v="Tom Brown"/>
      </sharedItems>
    </cacheField>
    <cacheField name="[sales].[Customer Type].[Customer Type]" caption="Customer Type" numFmtId="0" hierarchy="13" level="1">
      <sharedItems containsSemiMixedTypes="0" containsNonDate="0" containsString="0"/>
    </cacheField>
  </cacheFields>
  <cacheHierarchies count="22">
    <cacheHierarchy uniqueName="[sales].[Date]" caption="Date" attribute="1" time="1" defaultMemberUniqueName="[sales].[Date].[All]" allUniqueName="[sales].[Date].[All]" dimensionUniqueName="[sales]" displayFolder="" count="0" memberValueDatatype="7" unbalanced="0"/>
    <cacheHierarchy uniqueName="[sales].[Product Name]" caption="Product Name" attribute="1" defaultMemberUniqueName="[sales].[Product Name].[All]" allUniqueName="[sales].[Product Name].[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ales Representative]" caption="Sales Representative" attribute="1" defaultMemberUniqueName="[sales].[Sales Representative].[All]" allUniqueName="[sales].[Sales Representative].[All]" dimensionUniqueName="[sales]" displayFolder="" count="0" memberValueDatatype="130" unbalanced="0"/>
    <cacheHierarchy uniqueName="[sales].[Region]" caption="Region" attribute="1" defaultMemberUniqueName="[sales].[Region].[All]" allUniqueName="[sales].[Region].[All]" dimensionUniqueName="[sales]" displayFolder="" count="2" memberValueDatatype="130" unbalanced="0"/>
    <cacheHierarchy uniqueName="[sales].[Quantity Sold]" caption="Quantity Sold" attribute="1" defaultMemberUniqueName="[sales].[Quantity Sold].[All]" allUniqueName="[sales].[Quantity Sold].[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Total Sale]" caption="Total Sale" attribute="1" defaultMemberUniqueName="[sales].[Total Sale].[All]" allUniqueName="[sales].[Total Sale].[All]" dimensionUniqueName="[sales]" displayFolder="" count="0" memberValueDatatype="5" unbalanced="0"/>
    <cacheHierarchy uniqueName="[sales].[Cost Price]" caption="Cost Price" attribute="1" defaultMemberUniqueName="[sales].[Cost Price].[All]" allUniqueName="[sales].[Cost Price].[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ethod]" caption="Payment Method" attribute="1" defaultMemberUniqueName="[sales].[Payment Method].[All]" allUniqueName="[sales].[Payment Method].[All]" dimensionUniqueName="[sales]" displayFolder="" count="2" memberValueDatatype="130" unbalanced="0"/>
    <cacheHierarchy uniqueName="[sales].[Order Status]" caption="Order Status" attribute="1" defaultMemberUniqueName="[sales].[Order Status].[All]" allUniqueName="[sales].[Order Status].[All]" dimensionUniqueName="[sales]" displayFolder="" count="0" memberValueDatatype="130" unbalanced="0"/>
    <cacheHierarchy uniqueName="[sales].[Region Manager]" caption="Region Manager" attribute="1" defaultMemberUniqueName="[sales].[Region Manager].[All]" allUniqueName="[sales].[Region Manager].[All]" dimensionUniqueName="[sales]" displayFolder="" count="2" memberValueDatatype="130" unbalanced="0">
      <fieldsUsage count="2">
        <fieldUsage x="-1"/>
        <fieldUsage x="1"/>
      </fieldsUsage>
    </cacheHierarchy>
    <cacheHierarchy uniqueName="[sales].[Customer Type]" caption="Customer Type" attribute="1" defaultMemberUniqueName="[sales].[Customer Type].[All]" allUniqueName="[sales].[Customer Type].[All]" dimensionUniqueName="[sales]" displayFolder="" count="2" memberValueDatatype="130" unbalanced="0">
      <fieldsUsage count="2">
        <fieldUsage x="-1"/>
        <fieldUsage x="2"/>
      </fieldsUsage>
    </cacheHierarchy>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9"/>
        </ext>
      </extLst>
    </cacheHierarchy>
    <cacheHierarchy uniqueName="[Measures].[Sum of Total Sale]" caption="Sum of Total Sale" measure="1" displayFolder="" measureGroup="sales"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Product Name]" caption="Count of Product Name" measure="1" displayFolder="" measureGroup="sales" count="0" hidden="1">
      <extLst>
        <ext xmlns:x15="http://schemas.microsoft.com/office/spreadsheetml/2010/11/main" uri="{B97F6D7D-B522-45F9-BDA1-12C45D357490}">
          <x15:cacheHierarchy aggregatedColumn="1"/>
        </ext>
      </extLst>
    </cacheHierarchy>
    <cacheHierarchy uniqueName="[Measures].[Sum of Quantity Sold]" caption="Sum of Quantity Sold" measure="1" displayFolder="" measureGroup="sales"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ssaTA" refreshedDate="45910.708995601854" backgroundQuery="1" createdVersion="8" refreshedVersion="8" minRefreshableVersion="3" recordCount="0" supportSubquery="1" supportAdvancedDrill="1" xr:uid="{62E4E475-05F0-428E-A58F-7785E28146CF}">
  <cacheSource type="external" connectionId="1"/>
  <cacheFields count="4">
    <cacheField name="[Measures].[Sum of Total Sale]" caption="Sum of Total Sale" numFmtId="0" hierarchy="19" level="32767"/>
    <cacheField name="[sales].[Region Manager].[Region Manager]" caption="Region Manager" numFmtId="0" hierarchy="12" level="1">
      <sharedItems count="4">
        <s v="Lisa White"/>
        <s v="Mark Davis"/>
        <s v="Sarah Johnson"/>
        <s v="Tom Brown"/>
      </sharedItems>
    </cacheField>
    <cacheField name="[sales].[Sales Representative].[Sales Representative]" caption="Sales Representative" numFmtId="0" hierarchy="3" level="1">
      <sharedItems count="5">
        <s v="Alice"/>
        <s v="Bob"/>
        <s v="Charlie"/>
        <s v="Diana"/>
        <s v="Eve"/>
      </sharedItems>
    </cacheField>
    <cacheField name="[sales].[Customer Type].[Customer Type]" caption="Customer Type" numFmtId="0" hierarchy="13" level="1">
      <sharedItems containsSemiMixedTypes="0" containsNonDate="0" containsString="0"/>
    </cacheField>
  </cacheFields>
  <cacheHierarchies count="22">
    <cacheHierarchy uniqueName="[sales].[Date]" caption="Date" attribute="1" time="1" defaultMemberUniqueName="[sales].[Date].[All]" allUniqueName="[sales].[Date].[All]" dimensionUniqueName="[sales]" displayFolder="" count="0" memberValueDatatype="7" unbalanced="0"/>
    <cacheHierarchy uniqueName="[sales].[Product Name]" caption="Product Name" attribute="1" defaultMemberUniqueName="[sales].[Product Name].[All]" allUniqueName="[sales].[Product Name].[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ales Representative]" caption="Sales Representative" attribute="1" defaultMemberUniqueName="[sales].[Sales Representative].[All]" allUniqueName="[sales].[Sales Representative].[All]" dimensionUniqueName="[sales]" displayFolder="" count="2" memberValueDatatype="130" unbalanced="0">
      <fieldsUsage count="2">
        <fieldUsage x="-1"/>
        <fieldUsage x="2"/>
      </fieldsUsage>
    </cacheHierarchy>
    <cacheHierarchy uniqueName="[sales].[Region]" caption="Region" attribute="1" defaultMemberUniqueName="[sales].[Region].[All]" allUniqueName="[sales].[Region].[All]" dimensionUniqueName="[sales]" displayFolder="" count="2" memberValueDatatype="130" unbalanced="0"/>
    <cacheHierarchy uniqueName="[sales].[Quantity Sold]" caption="Quantity Sold" attribute="1" defaultMemberUniqueName="[sales].[Quantity Sold].[All]" allUniqueName="[sales].[Quantity Sold].[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Total Sale]" caption="Total Sale" attribute="1" defaultMemberUniqueName="[sales].[Total Sale].[All]" allUniqueName="[sales].[Total Sale].[All]" dimensionUniqueName="[sales]" displayFolder="" count="0" memberValueDatatype="5" unbalanced="0"/>
    <cacheHierarchy uniqueName="[sales].[Cost Price]" caption="Cost Price" attribute="1" defaultMemberUniqueName="[sales].[Cost Price].[All]" allUniqueName="[sales].[Cost Price].[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ethod]" caption="Payment Method" attribute="1" defaultMemberUniqueName="[sales].[Payment Method].[All]" allUniqueName="[sales].[Payment Method].[All]" dimensionUniqueName="[sales]" displayFolder="" count="2" memberValueDatatype="130" unbalanced="0"/>
    <cacheHierarchy uniqueName="[sales].[Order Status]" caption="Order Status" attribute="1" defaultMemberUniqueName="[sales].[Order Status].[All]" allUniqueName="[sales].[Order Status].[All]" dimensionUniqueName="[sales]" displayFolder="" count="0" memberValueDatatype="130" unbalanced="0"/>
    <cacheHierarchy uniqueName="[sales].[Region Manager]" caption="Region Manager" attribute="1" defaultMemberUniqueName="[sales].[Region Manager].[All]" allUniqueName="[sales].[Region Manager].[All]" dimensionUniqueName="[sales]" displayFolder="" count="2" memberValueDatatype="130" unbalanced="0">
      <fieldsUsage count="2">
        <fieldUsage x="-1"/>
        <fieldUsage x="1"/>
      </fieldsUsage>
    </cacheHierarchy>
    <cacheHierarchy uniqueName="[sales].[Customer Type]" caption="Customer Type" attribute="1" defaultMemberUniqueName="[sales].[Customer Type].[All]" allUniqueName="[sales].[Customer Type].[All]" dimensionUniqueName="[sales]" displayFolder="" count="2" memberValueDatatype="130" unbalanced="0">
      <fieldsUsage count="2">
        <fieldUsage x="-1"/>
        <fieldUsage x="3"/>
      </fieldsUsage>
    </cacheHierarchy>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9"/>
        </ext>
      </extLst>
    </cacheHierarchy>
    <cacheHierarchy uniqueName="[Measures].[Sum of Total Sale]" caption="Sum of Total Sale" measure="1" displayFolder="" measureGroup="sales"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Product Name]" caption="Count of Product Name" measure="1" displayFolder="" measureGroup="sales" count="0" hidden="1">
      <extLst>
        <ext xmlns:x15="http://schemas.microsoft.com/office/spreadsheetml/2010/11/main" uri="{B97F6D7D-B522-45F9-BDA1-12C45D357490}">
          <x15:cacheHierarchy aggregatedColumn="1"/>
        </ext>
      </extLst>
    </cacheHierarchy>
    <cacheHierarchy uniqueName="[Measures].[Sum of Quantity Sold]" caption="Sum of Quantity Sold" measure="1" displayFolder="" measureGroup="sales"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ssaTA" refreshedDate="45863.764025578705" backgroundQuery="1" createdVersion="3" refreshedVersion="8" minRefreshableVersion="3" recordCount="0" supportSubquery="1" supportAdvancedDrill="1" xr:uid="{257491AB-0E82-40C6-BB96-A32FCB8CB48B}">
  <cacheSource type="external" connectionId="1">
    <extLst>
      <ext xmlns:x14="http://schemas.microsoft.com/office/spreadsheetml/2009/9/main" uri="{F057638F-6D5F-4e77-A914-E7F072B9BCA8}">
        <x14:sourceConnection name="ThisWorkbookDataModel"/>
      </ext>
    </extLst>
  </cacheSource>
  <cacheFields count="0"/>
  <cacheHierarchies count="22">
    <cacheHierarchy uniqueName="[sales].[Date]" caption="Date" attribute="1" time="1" defaultMemberUniqueName="[sales].[Date].[All]" allUniqueName="[sales].[Date].[All]" dimensionUniqueName="[sales]" displayFolder="" count="0" memberValueDatatype="7" unbalanced="0"/>
    <cacheHierarchy uniqueName="[sales].[Product Name]" caption="Product Name" attribute="1" defaultMemberUniqueName="[sales].[Product Name].[All]" allUniqueName="[sales].[Product Name].[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ales Representative]" caption="Sales Representative" attribute="1" defaultMemberUniqueName="[sales].[Sales Representative].[All]" allUniqueName="[sales].[Sales Representative].[All]" dimensionUniqueName="[sales]" displayFolder="" count="0" memberValueDatatype="130" unbalanced="0"/>
    <cacheHierarchy uniqueName="[sales].[Region]" caption="Region" attribute="1" defaultMemberUniqueName="[sales].[Region].[All]" allUniqueName="[sales].[Region].[All]" dimensionUniqueName="[sales]" displayFolder="" count="2" memberValueDatatype="130" unbalanced="0"/>
    <cacheHierarchy uniqueName="[sales].[Quantity Sold]" caption="Quantity Sold" attribute="1" defaultMemberUniqueName="[sales].[Quantity Sold].[All]" allUniqueName="[sales].[Quantity Sold].[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Total Sale]" caption="Total Sale" attribute="1" defaultMemberUniqueName="[sales].[Total Sale].[All]" allUniqueName="[sales].[Total Sale].[All]" dimensionUniqueName="[sales]" displayFolder="" count="0" memberValueDatatype="5" unbalanced="0"/>
    <cacheHierarchy uniqueName="[sales].[Cost Price]" caption="Cost Price" attribute="1" defaultMemberUniqueName="[sales].[Cost Price].[All]" allUniqueName="[sales].[Cost Price].[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ethod]" caption="Payment Method" attribute="1" defaultMemberUniqueName="[sales].[Payment Method].[All]" allUniqueName="[sales].[Payment Method].[All]" dimensionUniqueName="[sales]" displayFolder="" count="2" memberValueDatatype="130" unbalanced="0"/>
    <cacheHierarchy uniqueName="[sales].[Order Status]" caption="Order Status" attribute="1" defaultMemberUniqueName="[sales].[Order Status].[All]" allUniqueName="[sales].[Order Status].[All]" dimensionUniqueName="[sales]" displayFolder="" count="0" memberValueDatatype="130" unbalanced="0"/>
    <cacheHierarchy uniqueName="[sales].[Region Manager]" caption="Region Manager" attribute="1" defaultMemberUniqueName="[sales].[Region Manager].[All]" allUniqueName="[sales].[Region Manager].[All]" dimensionUniqueName="[sales]" displayFolder="" count="0" memberValueDatatype="130" unbalanced="0"/>
    <cacheHierarchy uniqueName="[sales].[Customer Type]" caption="Customer Type" attribute="1" defaultMemberUniqueName="[sales].[Customer Type].[All]" allUniqueName="[sales].[Customer Type].[All]" dimensionUniqueName="[sales]" displayFolder="" count="2"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9"/>
        </ext>
      </extLst>
    </cacheHierarchy>
    <cacheHierarchy uniqueName="[Measures].[Sum of Total Sale]" caption="Sum of Total Sale" measure="1" displayFolder="" measureGroup="sales" count="0" hidden="1">
      <extLst>
        <ext xmlns:x15="http://schemas.microsoft.com/office/spreadsheetml/2010/11/main" uri="{B97F6D7D-B522-45F9-BDA1-12C45D357490}">
          <x15:cacheHierarchy aggregatedColumn="7"/>
        </ext>
      </extLst>
    </cacheHierarchy>
    <cacheHierarchy uniqueName="[Measures].[Count of Product Name]" caption="Count of Product Name" measure="1" displayFolder="" measureGroup="sales" count="0" hidden="1">
      <extLst>
        <ext xmlns:x15="http://schemas.microsoft.com/office/spreadsheetml/2010/11/main" uri="{B97F6D7D-B522-45F9-BDA1-12C45D357490}">
          <x15:cacheHierarchy aggregatedColumn="1"/>
        </ext>
      </extLst>
    </cacheHierarchy>
    <cacheHierarchy uniqueName="[Measures].[Sum of Quantity Sold]" caption="Sum of Quantity Sold" measure="1" displayFolder="" measureGroup="sales"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88723791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531159-6AC4-4678-9246-D59E78CC94CD}" name="Profit for Regions" cacheId="3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4:C9"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Total Profit" fld="0" baseField="1" baseItem="0" numFmtId="165"/>
  </dataFields>
  <formats count="2">
    <format dxfId="47">
      <pivotArea outline="0" collapsedLevelsAreSubtotals="1" fieldPosition="0"/>
    </format>
    <format dxfId="46">
      <pivotArea dataOnly="0" labelOnly="1" outline="0" axis="axisValues" fieldPosition="0"/>
    </format>
  </formats>
  <pivotHierarchies count="2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Total Profi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table.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37774C-0F47-4DD3-9A2B-0603DFC3E72F}" name="Sales per Regions Managers" cacheId="4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K4:L9" firstHeaderRow="1" firstDataRow="1" firstDataCol="1"/>
  <pivotFields count="3">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3"/>
    </i>
    <i>
      <x v="2"/>
    </i>
    <i>
      <x/>
    </i>
    <i>
      <x v="1"/>
    </i>
    <i t="grand">
      <x/>
    </i>
  </rowItems>
  <colItems count="1">
    <i/>
  </colItems>
  <dataFields count="1">
    <dataField name="Sum of Total Sale" fld="0" baseField="0" baseItem="0"/>
  </dataFields>
  <formats count="2">
    <format dxfId="49">
      <pivotArea outline="0" collapsedLevelsAreSubtotals="1" fieldPosition="0"/>
    </format>
    <format dxfId="4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Total Profi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table.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320EDB-A760-4ED6-BD1E-D17988D15116}" name="Sales per Regions" cacheId="4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H4:I9"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Total Sale" fld="1" baseField="0" baseItem="0"/>
  </dataFields>
  <formats count="2">
    <format dxfId="51">
      <pivotArea outline="0" collapsedLevelsAreSubtotals="1" fieldPosition="0"/>
    </format>
    <format dxfId="50">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Total Profi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table.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7BFEB4-F9E0-49CD-8373-9C41FFE628B3}" name="Sales per Category" cacheId="4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4:F10"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Total Sale" fld="1" baseField="0" baseItem="0"/>
  </dataFields>
  <formats count="2">
    <format dxfId="53">
      <pivotArea outline="0" collapsedLevelsAreSubtotals="1" fieldPosition="0"/>
    </format>
    <format dxfId="52">
      <pivotArea dataOnly="0" labelOnly="1" outline="0" axis="axisValues" fieldPosition="0"/>
    </format>
  </formats>
  <pivotHierarchies count="2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Total Profi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table.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739113-69FB-4FAE-929A-3C2F0354ADF0}" name="Order Status" cacheId="3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T4:V8"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Count of Product Name" fld="1" subtotal="count" baseField="0" baseItem="0"/>
    <dataField name="Sum of Quantity Sold" fld="2" baseField="0" baseItem="0"/>
  </dataFields>
  <formats count="3">
    <format dxfId="56">
      <pivotArea dataOnly="0" labelOnly="1" outline="0" axis="axisValues" fieldPosition="0"/>
    </format>
    <format dxfId="55">
      <pivotArea outline="0" collapsedLevelsAreSubtotals="1" fieldPosition="0"/>
    </format>
    <format dxfId="54">
      <pivotArea dataOnly="0" labelOnly="1" outline="0" fieldPosition="0">
        <references count="1">
          <reference field="4294967294" count="2">
            <x v="0"/>
            <x v="1"/>
          </reference>
        </references>
      </pivotArea>
    </format>
  </formats>
  <pivotHierarchies count="2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Total Profi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table.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966FEB-7716-4C42-B6DC-55A3127E5ADC}" name="Sales by Month" cacheId="3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N4:O17" firstHeaderRow="1" firstDataRow="1" firstDataCol="1"/>
  <pivotFields count="5">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1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s>
  <rowFields count="2">
    <field x="3"/>
    <field x="2"/>
  </rowFields>
  <rowItems count="13">
    <i>
      <x/>
    </i>
    <i>
      <x v="1"/>
    </i>
    <i>
      <x v="2"/>
    </i>
    <i>
      <x v="3"/>
    </i>
    <i>
      <x v="4"/>
    </i>
    <i>
      <x v="5"/>
    </i>
    <i>
      <x v="6"/>
    </i>
    <i>
      <x v="7"/>
    </i>
    <i>
      <x v="8"/>
    </i>
    <i>
      <x v="9"/>
    </i>
    <i>
      <x v="10"/>
    </i>
    <i>
      <x v="11"/>
    </i>
    <i t="grand">
      <x/>
    </i>
  </rowItems>
  <colItems count="1">
    <i/>
  </colItems>
  <dataFields count="1">
    <dataField name="Sum of Total Sale" fld="0" baseField="0" baseItem="0"/>
  </dataFields>
  <formats count="2">
    <format dxfId="58">
      <pivotArea outline="0" collapsedLevelsAreSubtotals="1" fieldPosition="0"/>
    </format>
    <format dxfId="57">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Total Profit"/>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4"/>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table.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FF15ED-A60C-4DC4-B982-EE52FE09DC05}" name="Sales per Sellers" cacheId="4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Q4:R10" firstHeaderRow="1" firstDataRow="1" firstDataCol="1"/>
  <pivotFields count="4">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4"/>
    </i>
    <i>
      <x/>
    </i>
    <i>
      <x v="1"/>
    </i>
    <i>
      <x v="2"/>
    </i>
    <i>
      <x v="3"/>
    </i>
    <i t="grand">
      <x/>
    </i>
  </rowItems>
  <colItems count="1">
    <i/>
  </colItems>
  <dataFields count="1">
    <dataField name="Sum of Total Sale" fld="0" baseField="0" baseItem="0"/>
  </dataFields>
  <formats count="2">
    <format dxfId="60">
      <pivotArea outline="0" collapsedLevelsAreSubtotals="1" fieldPosition="0"/>
    </format>
    <format dxfId="5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Total Profi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table.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6989DC06-AF74-447D-9A7C-F61C3FD40FBD}" sourceName="[sales].[Customer Type]">
  <pivotTables>
    <pivotTable tabId="3" name="Profit for Regions"/>
    <pivotTable tabId="3" name="Order Status"/>
    <pivotTable tabId="3" name="Sales by Month"/>
    <pivotTable tabId="3" name="Sales per Category"/>
    <pivotTable tabId="3" name="Sales per Regions"/>
    <pivotTable tabId="3" name="Sales per Regions Managers"/>
    <pivotTable tabId="3" name="Sales per Sellers"/>
  </pivotTables>
  <data>
    <olap pivotCacheId="887237914">
      <levels count="2">
        <level uniqueName="[sales].[Customer Type].[(All)]" sourceCaption="(All)" count="0"/>
        <level uniqueName="[sales].[Customer Type].[Customer Type]" sourceCaption="Customer Type" count="3">
          <ranges>
            <range startItem="0">
              <i n="[sales].[Customer Type].&amp;[New]" c="New"/>
              <i n="[sales].[Customer Type].&amp;[Regular]" c="Regular"/>
              <i n="[sales].[Customer Type].&amp;[VIP]" c="VIP"/>
            </range>
          </ranges>
        </level>
      </levels>
      <selections count="1">
        <selection n="[sales].[Customer 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90ED3DA0-2783-4BF3-B573-F6895C56537D}" sourceName="[sales].[Payment Method]">
  <pivotTables>
    <pivotTable tabId="3" name="Profit for Regions"/>
    <pivotTable tabId="3" name="Order Status"/>
    <pivotTable tabId="3" name="Sales by Month"/>
    <pivotTable tabId="3" name="Sales per Category"/>
    <pivotTable tabId="3" name="Sales per Regions"/>
    <pivotTable tabId="3" name="Sales per Regions Managers"/>
    <pivotTable tabId="3" name="Sales per Sellers"/>
  </pivotTables>
  <data>
    <olap pivotCacheId="887237914">
      <levels count="2">
        <level uniqueName="[sales].[Payment Method].[(All)]" sourceCaption="(All)" count="0"/>
        <level uniqueName="[sales].[Payment Method].[Payment Method]" sourceCaption="Payment Method" count="3">
          <ranges>
            <range startItem="0">
              <i n="[sales].[Payment Method].&amp;[Cash]" c="Cash"/>
              <i n="[sales].[Payment Method].&amp;[Credit Card]" c="Credit Card"/>
              <i n="[sales].[Payment Method].&amp;[Online Transfer]" c="Online Transfer"/>
            </range>
          </ranges>
        </level>
      </levels>
      <selections count="1">
        <selection n="[sales].[Payment Metho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398D855-E3BE-4B4E-8ABA-F167E5C82C15}" sourceName="[sales].[Region]">
  <pivotTables>
    <pivotTable tabId="3" name="Profit for Regions"/>
    <pivotTable tabId="3" name="Order Status"/>
    <pivotTable tabId="3" name="Sales by Month"/>
    <pivotTable tabId="3" name="Sales per Category"/>
    <pivotTable tabId="3" name="Sales per Regions"/>
    <pivotTable tabId="3" name="Sales per Regions Managers"/>
    <pivotTable tabId="3" name="Sales per Sellers"/>
  </pivotTables>
  <data>
    <olap pivotCacheId="887237914">
      <levels count="2">
        <level uniqueName="[sales].[Region].[(All)]" sourceCaption="(All)" count="0"/>
        <level uniqueName="[sales].[Region].[Region]" sourceCaption="Region" count="4">
          <ranges>
            <range startItem="0">
              <i n="[sales].[Region].&amp;[East]" c="East"/>
              <i n="[sales].[Region].&amp;[North]" c="North"/>
              <i n="[sales].[Region].&amp;[South]" c="South"/>
              <i n="[sales].[Region].&amp;[West]" c="West"/>
            </range>
          </ranges>
        </level>
      </levels>
      <selections count="1">
        <selection n="[sale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1" xr10:uid="{8A3D3AE9-0F7A-476C-83E0-DE2EEA732F83}" cache="Slicer_Customer_Type" caption="Customer Type" level="1" style="Slicer Style 5" rowHeight="251883"/>
  <slicer name="Payment Method 1" xr10:uid="{F2732B3E-7780-45F5-A45B-F790C458C56C}" cache="Slicer_Payment_Method" level="1" style="Slicer Style 5" rowHeight="251883"/>
  <slicer name="Region 1" xr10:uid="{CFA9165A-F104-495E-8FDF-F6AFCE6585B5}" cache="Slicer_Region" level="1" style="Slicer Style 5"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003DA5-D2EC-4AAA-AB30-D0DA59A4EF2A}" name="sales" displayName="sales" ref="A4:N154" totalsRowShown="0" headerRowDxfId="45" dataDxfId="44">
  <autoFilter ref="A4:N154" xr:uid="{D7003DA5-D2EC-4AAA-AB30-D0DA59A4EF2A}"/>
  <tableColumns count="14">
    <tableColumn id="1" xr3:uid="{3512E72D-2E22-4DB2-9B0F-A10DAC11E2CC}" name="Date" dataDxfId="43"/>
    <tableColumn id="2" xr3:uid="{89737F0C-97AA-45D8-BB9D-667CC61F04DD}" name="Product Name" dataDxfId="42"/>
    <tableColumn id="3" xr3:uid="{9D6739F2-3E68-4824-A97A-6BD95B797A1F}" name="Category" dataDxfId="41"/>
    <tableColumn id="4" xr3:uid="{8C83DBF2-E674-4356-9ECB-4565302FBBCE}" name="Sales Representative" dataDxfId="40"/>
    <tableColumn id="5" xr3:uid="{EA612E6E-AA3C-4C34-AA84-125F89F0098F}" name="Region" dataDxfId="39"/>
    <tableColumn id="6" xr3:uid="{EEED20B5-E137-4FFF-BBAB-5DA146BE33C2}" name="Quantity Sold" dataDxfId="38"/>
    <tableColumn id="7" xr3:uid="{59F5877A-FCA3-4600-87E2-645084FC2C6E}" name="Unit Price" dataDxfId="37"/>
    <tableColumn id="8" xr3:uid="{1985B714-F654-4A30-8B97-BD00345F7045}" name="Total Sale" dataDxfId="36"/>
    <tableColumn id="9" xr3:uid="{3CBEE2B6-1AA2-493E-9BBB-CDB385FCCEA5}" name="Cost Price" dataDxfId="35"/>
    <tableColumn id="10" xr3:uid="{5621D9F7-895A-4F8C-8324-F3C20C89DD25}" name="Profit" dataDxfId="34"/>
    <tableColumn id="11" xr3:uid="{C6D60DBD-3762-4771-A59A-C7CF647E19F8}" name="Payment Method" dataDxfId="33"/>
    <tableColumn id="12" xr3:uid="{A0BBDF7B-0CC2-4E20-B954-232BA56AE872}" name="Order Status" dataDxfId="32"/>
    <tableColumn id="13" xr3:uid="{A66F8E1E-3246-4C51-8CE2-B2A542470C85}" name="Region Manager" dataDxfId="31"/>
    <tableColumn id="14" xr3:uid="{576289EA-E3F9-47C9-B119-D2526924FD28}" name="Customer Type" dataDxfId="3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D5943-D24B-45A4-953E-E1ED6AB52A03}">
  <dimension ref="A2:V31"/>
  <sheetViews>
    <sheetView topLeftCell="K3" zoomScale="69" zoomScaleNormal="130" workbookViewId="0">
      <selection activeCell="AB33" sqref="AB33"/>
    </sheetView>
  </sheetViews>
  <sheetFormatPr defaultRowHeight="14.5"/>
  <cols>
    <col min="1" max="1" width="25.7265625" customWidth="1"/>
    <col min="2" max="2" width="13.54296875" bestFit="1" customWidth="1"/>
    <col min="3" max="3" width="11.26953125" bestFit="1" customWidth="1"/>
    <col min="4" max="4" width="3.08984375" customWidth="1"/>
    <col min="5" max="5" width="13.54296875" bestFit="1" customWidth="1"/>
    <col min="6" max="6" width="16.7265625" bestFit="1" customWidth="1"/>
    <col min="7" max="7" width="3.90625" customWidth="1"/>
    <col min="8" max="8" width="13.54296875" bestFit="1" customWidth="1"/>
    <col min="9" max="9" width="16.7265625" bestFit="1" customWidth="1"/>
    <col min="10" max="10" width="4.6328125" customWidth="1"/>
    <col min="11" max="11" width="13.54296875" bestFit="1" customWidth="1"/>
    <col min="12" max="12" width="16.7265625" bestFit="1" customWidth="1"/>
    <col min="13" max="13" width="4.36328125" customWidth="1"/>
    <col min="14" max="14" width="13.54296875" bestFit="1" customWidth="1"/>
    <col min="15" max="15" width="16.7265625" bestFit="1" customWidth="1"/>
    <col min="16" max="16" width="4" customWidth="1"/>
    <col min="17" max="17" width="13.54296875" bestFit="1" customWidth="1"/>
    <col min="18" max="18" width="16.7265625" bestFit="1" customWidth="1"/>
    <col min="19" max="19" width="5.36328125" customWidth="1"/>
    <col min="20" max="20" width="13.54296875" bestFit="1" customWidth="1"/>
    <col min="21" max="21" width="20.6328125" bestFit="1" customWidth="1"/>
    <col min="22" max="22" width="18.54296875" bestFit="1" customWidth="1"/>
  </cols>
  <sheetData>
    <row r="2" spans="1:22">
      <c r="A2" s="8">
        <f ca="1">NOW()</f>
        <v>45910.708995833331</v>
      </c>
      <c r="B2" s="7" t="s">
        <v>64</v>
      </c>
      <c r="C2" s="7"/>
      <c r="E2" s="7" t="s">
        <v>67</v>
      </c>
      <c r="F2" s="7"/>
      <c r="H2" s="7" t="s">
        <v>66</v>
      </c>
      <c r="I2" s="7"/>
      <c r="K2" s="7" t="s">
        <v>93</v>
      </c>
      <c r="L2" s="7"/>
      <c r="N2" s="7" t="s">
        <v>92</v>
      </c>
      <c r="O2" s="7"/>
      <c r="Q2" s="7" t="s">
        <v>94</v>
      </c>
      <c r="R2" s="7"/>
      <c r="T2" s="7" t="s">
        <v>95</v>
      </c>
      <c r="U2" s="7"/>
    </row>
    <row r="3" spans="1:22">
      <c r="A3" s="8"/>
    </row>
    <row r="4" spans="1:22">
      <c r="B4" s="5" t="s">
        <v>61</v>
      </c>
      <c r="C4" s="10" t="s">
        <v>63</v>
      </c>
      <c r="E4" s="5" t="s">
        <v>61</v>
      </c>
      <c r="F4" s="10" t="s">
        <v>65</v>
      </c>
      <c r="H4" s="5" t="s">
        <v>61</v>
      </c>
      <c r="I4" s="10" t="s">
        <v>65</v>
      </c>
      <c r="K4" s="5" t="s">
        <v>61</v>
      </c>
      <c r="L4" s="10" t="s">
        <v>65</v>
      </c>
      <c r="N4" s="5" t="s">
        <v>61</v>
      </c>
      <c r="O4" s="10" t="s">
        <v>65</v>
      </c>
      <c r="Q4" s="5" t="s">
        <v>61</v>
      </c>
      <c r="R4" s="10" t="s">
        <v>65</v>
      </c>
      <c r="T4" s="5" t="s">
        <v>61</v>
      </c>
      <c r="U4" s="15" t="s">
        <v>96</v>
      </c>
      <c r="V4" s="15" t="s">
        <v>97</v>
      </c>
    </row>
    <row r="5" spans="1:22">
      <c r="B5" s="6" t="s">
        <v>24</v>
      </c>
      <c r="C5" s="10">
        <v>2101</v>
      </c>
      <c r="E5" s="6" t="s">
        <v>52</v>
      </c>
      <c r="F5" s="10">
        <v>29182.06</v>
      </c>
      <c r="H5" s="6" t="s">
        <v>24</v>
      </c>
      <c r="I5" s="10">
        <v>60100.99</v>
      </c>
      <c r="K5" s="6" t="s">
        <v>27</v>
      </c>
      <c r="L5" s="10">
        <v>64550.84</v>
      </c>
      <c r="N5" s="6" t="s">
        <v>68</v>
      </c>
      <c r="O5" s="10">
        <v>24528.94</v>
      </c>
      <c r="Q5" s="6" t="s">
        <v>48</v>
      </c>
      <c r="R5" s="10">
        <v>55711.06</v>
      </c>
      <c r="T5" s="6" t="s">
        <v>33</v>
      </c>
      <c r="U5" s="15">
        <v>37</v>
      </c>
      <c r="V5" s="15">
        <v>192</v>
      </c>
    </row>
    <row r="6" spans="1:22">
      <c r="B6" s="6" t="s">
        <v>46</v>
      </c>
      <c r="C6" s="10">
        <v>2145</v>
      </c>
      <c r="E6" s="6" t="s">
        <v>30</v>
      </c>
      <c r="F6" s="10">
        <v>27014.35</v>
      </c>
      <c r="H6" s="6" t="s">
        <v>46</v>
      </c>
      <c r="I6" s="10">
        <v>50329.01</v>
      </c>
      <c r="K6" s="6" t="s">
        <v>37</v>
      </c>
      <c r="L6" s="10">
        <v>52442.06</v>
      </c>
      <c r="N6" s="6" t="s">
        <v>69</v>
      </c>
      <c r="O6" s="10">
        <v>15451.27</v>
      </c>
      <c r="Q6" s="6" t="s">
        <v>42</v>
      </c>
      <c r="R6" s="10">
        <v>45222.76</v>
      </c>
      <c r="T6" s="6" t="s">
        <v>19</v>
      </c>
      <c r="U6" s="15">
        <v>71</v>
      </c>
      <c r="V6" s="15">
        <v>373</v>
      </c>
    </row>
    <row r="7" spans="1:22">
      <c r="B7" s="6" t="s">
        <v>31</v>
      </c>
      <c r="C7" s="10">
        <v>2167</v>
      </c>
      <c r="E7" s="6" t="s">
        <v>40</v>
      </c>
      <c r="F7" s="10">
        <v>39309.78</v>
      </c>
      <c r="H7" s="6" t="s">
        <v>31</v>
      </c>
      <c r="I7" s="10">
        <v>67158.789999999994</v>
      </c>
      <c r="K7" s="6" t="s">
        <v>20</v>
      </c>
      <c r="L7" s="10">
        <v>48098.53</v>
      </c>
      <c r="N7" s="6" t="s">
        <v>70</v>
      </c>
      <c r="O7" s="10">
        <v>17672.21</v>
      </c>
      <c r="Q7" s="6" t="s">
        <v>23</v>
      </c>
      <c r="R7" s="10">
        <v>39607.440000000002</v>
      </c>
      <c r="T7" s="6" t="s">
        <v>26</v>
      </c>
      <c r="U7" s="15">
        <v>42</v>
      </c>
      <c r="V7" s="15">
        <v>235</v>
      </c>
    </row>
    <row r="8" spans="1:22">
      <c r="B8" s="6" t="s">
        <v>17</v>
      </c>
      <c r="C8" s="10">
        <v>1623.5</v>
      </c>
      <c r="E8" s="6" t="s">
        <v>15</v>
      </c>
      <c r="F8" s="10">
        <v>51359.74</v>
      </c>
      <c r="H8" s="6" t="s">
        <v>17</v>
      </c>
      <c r="I8" s="10">
        <v>31182.52</v>
      </c>
      <c r="K8" s="6" t="s">
        <v>34</v>
      </c>
      <c r="L8" s="10">
        <v>43679.88</v>
      </c>
      <c r="N8" s="6" t="s">
        <v>71</v>
      </c>
      <c r="O8" s="10">
        <v>25578.95</v>
      </c>
      <c r="Q8" s="6" t="s">
        <v>16</v>
      </c>
      <c r="R8" s="10">
        <v>35076.949999999997</v>
      </c>
      <c r="T8" s="6" t="s">
        <v>62</v>
      </c>
      <c r="U8" s="15">
        <v>150</v>
      </c>
      <c r="V8" s="15">
        <v>800</v>
      </c>
    </row>
    <row r="9" spans="1:22">
      <c r="B9" s="6" t="s">
        <v>62</v>
      </c>
      <c r="C9" s="10">
        <v>8036.5</v>
      </c>
      <c r="E9" s="6" t="s">
        <v>44</v>
      </c>
      <c r="F9" s="10">
        <v>61905.38</v>
      </c>
      <c r="H9" s="6" t="s">
        <v>62</v>
      </c>
      <c r="I9" s="10">
        <v>208771.31</v>
      </c>
      <c r="K9" s="6" t="s">
        <v>62</v>
      </c>
      <c r="L9" s="10">
        <v>208771.31</v>
      </c>
      <c r="N9" s="6" t="s">
        <v>72</v>
      </c>
      <c r="O9" s="10">
        <v>20630.37</v>
      </c>
      <c r="Q9" s="6" t="s">
        <v>49</v>
      </c>
      <c r="R9" s="10">
        <v>33153.1</v>
      </c>
    </row>
    <row r="10" spans="1:22">
      <c r="C10" s="9"/>
      <c r="E10" s="6" t="s">
        <v>62</v>
      </c>
      <c r="F10" s="10">
        <v>208771.31</v>
      </c>
      <c r="I10" s="9"/>
      <c r="L10" s="9"/>
      <c r="N10" s="6" t="s">
        <v>73</v>
      </c>
      <c r="O10" s="10">
        <v>17614.05</v>
      </c>
      <c r="Q10" s="6" t="s">
        <v>62</v>
      </c>
      <c r="R10" s="10">
        <v>208771.31</v>
      </c>
      <c r="U10" s="13"/>
    </row>
    <row r="11" spans="1:22">
      <c r="B11" t="str">
        <f>B5</f>
        <v>East</v>
      </c>
      <c r="C11" s="9">
        <f>IFERROR(VLOOKUP(B11,B5:C9,2,0),"")</f>
        <v>2101</v>
      </c>
      <c r="H11" t="str">
        <f>H5</f>
        <v>East</v>
      </c>
      <c r="I11" s="9">
        <f>IFERROR(VLOOKUP(H11,H5:I9,2,0),"")</f>
        <v>60100.99</v>
      </c>
      <c r="K11" t="str">
        <f>K5</f>
        <v>Tom Brown</v>
      </c>
      <c r="L11" s="9">
        <f>IFERROR(VLOOKUP(K11,K5:L9,2,0),"")</f>
        <v>64550.84</v>
      </c>
      <c r="N11" s="6" t="s">
        <v>74</v>
      </c>
      <c r="O11" s="10">
        <v>15549.45</v>
      </c>
      <c r="T11" t="str">
        <f>T5</f>
        <v>Cancelled</v>
      </c>
      <c r="U11" s="13">
        <f>IFERROR(VLOOKUP(T11,T5:U9,2,0),"")</f>
        <v>37</v>
      </c>
      <c r="V11">
        <f>IFERROR(VLOOKUP(T11,T5:V8,3,0),"")</f>
        <v>192</v>
      </c>
    </row>
    <row r="12" spans="1:22">
      <c r="B12" t="str">
        <f t="shared" ref="B12:B15" si="0">B6</f>
        <v>North</v>
      </c>
      <c r="C12" s="9">
        <f t="shared" ref="C12:C15" si="1">IFERROR(VLOOKUP(B12,B6:C10,2,0),"")</f>
        <v>2145</v>
      </c>
      <c r="E12" t="str">
        <f>E5</f>
        <v>Beauty</v>
      </c>
      <c r="F12" s="9">
        <f>IFERROR(VLOOKUP(E12,E5:F9,2,0),"")</f>
        <v>29182.06</v>
      </c>
      <c r="H12" t="str">
        <f t="shared" ref="H12:H15" si="2">H6</f>
        <v>North</v>
      </c>
      <c r="I12" s="9">
        <f t="shared" ref="I12:I15" si="3">IFERROR(VLOOKUP(H12,H6:I10,2,0),"")</f>
        <v>50329.01</v>
      </c>
      <c r="K12" t="str">
        <f t="shared" ref="K12:K15" si="4">K6</f>
        <v>Sarah Johnson</v>
      </c>
      <c r="L12" s="9">
        <f t="shared" ref="L12:L15" si="5">IFERROR(VLOOKUP(K12,K6:L10,2,0),"")</f>
        <v>52442.06</v>
      </c>
      <c r="N12" s="6" t="s">
        <v>75</v>
      </c>
      <c r="O12" s="10">
        <v>13249.36</v>
      </c>
      <c r="Q12" t="str">
        <f>Q5</f>
        <v>Eve</v>
      </c>
      <c r="R12" s="9">
        <f>IFERROR(VLOOKUP(Q12,Q5:R9,2,0),"")</f>
        <v>55711.06</v>
      </c>
      <c r="T12" t="str">
        <f t="shared" ref="T12:T14" si="6">T6</f>
        <v>Completed</v>
      </c>
      <c r="U12" s="13">
        <f t="shared" ref="U12:U14" si="7">IFERROR(VLOOKUP(T12,T6:U10,2,0),"")</f>
        <v>71</v>
      </c>
      <c r="V12">
        <f t="shared" ref="V12:V13" si="8">IFERROR(VLOOKUP(T12,T6:V9,3,0),"")</f>
        <v>373</v>
      </c>
    </row>
    <row r="13" spans="1:22">
      <c r="B13" t="str">
        <f t="shared" si="0"/>
        <v>South</v>
      </c>
      <c r="C13" s="9">
        <f t="shared" si="1"/>
        <v>2167</v>
      </c>
      <c r="E13" t="str">
        <f>E6</f>
        <v>Clothing</v>
      </c>
      <c r="F13" s="9">
        <f>IFERROR(VLOOKUP(E13,E6:F10,2,0),"")</f>
        <v>27014.35</v>
      </c>
      <c r="H13" t="str">
        <f t="shared" si="2"/>
        <v>South</v>
      </c>
      <c r="I13" s="9">
        <f t="shared" si="3"/>
        <v>67158.789999999994</v>
      </c>
      <c r="K13" t="str">
        <f t="shared" si="4"/>
        <v>Lisa White</v>
      </c>
      <c r="L13" s="9">
        <f t="shared" si="5"/>
        <v>48098.53</v>
      </c>
      <c r="N13" s="6" t="s">
        <v>76</v>
      </c>
      <c r="O13" s="10">
        <v>33596.71</v>
      </c>
      <c r="Q13" t="str">
        <f>Q6</f>
        <v>Alice</v>
      </c>
      <c r="R13" s="9">
        <f>IFERROR(VLOOKUP(Q13,Q6:R10,2,0),"")</f>
        <v>45222.76</v>
      </c>
      <c r="T13" t="str">
        <f t="shared" si="6"/>
        <v>Pending</v>
      </c>
      <c r="U13" s="13">
        <f t="shared" si="7"/>
        <v>42</v>
      </c>
      <c r="V13">
        <f t="shared" si="8"/>
        <v>235</v>
      </c>
    </row>
    <row r="14" spans="1:22">
      <c r="B14" t="str">
        <f t="shared" si="0"/>
        <v>West</v>
      </c>
      <c r="C14" s="9">
        <f t="shared" si="1"/>
        <v>1623.5</v>
      </c>
      <c r="E14" t="str">
        <f>E7</f>
        <v>Electronics</v>
      </c>
      <c r="F14" s="9">
        <f>IFERROR(VLOOKUP(E14,E7:F12,2,0),"")</f>
        <v>39309.78</v>
      </c>
      <c r="H14" t="str">
        <f t="shared" si="2"/>
        <v>West</v>
      </c>
      <c r="I14" s="9">
        <f t="shared" si="3"/>
        <v>31182.52</v>
      </c>
      <c r="K14" t="str">
        <f t="shared" si="4"/>
        <v>Mark Davis</v>
      </c>
      <c r="L14" s="9">
        <f t="shared" si="5"/>
        <v>43679.88</v>
      </c>
      <c r="N14" s="6" t="s">
        <v>77</v>
      </c>
      <c r="O14" s="10">
        <v>10508.74</v>
      </c>
      <c r="Q14" t="str">
        <f>Q7</f>
        <v>Bob</v>
      </c>
      <c r="R14" s="9">
        <f>IFERROR(VLOOKUP(Q14,Q7:R12,2,0),"")</f>
        <v>39607.440000000002</v>
      </c>
      <c r="T14" t="str">
        <f t="shared" si="6"/>
        <v>Grand Total</v>
      </c>
      <c r="U14" s="13">
        <f t="shared" si="7"/>
        <v>150</v>
      </c>
      <c r="V14">
        <f>IFERROR(VLOOKUP(T14,T8:V11,3,0),"")</f>
        <v>800</v>
      </c>
    </row>
    <row r="15" spans="1:22">
      <c r="B15" t="str">
        <f t="shared" si="0"/>
        <v>Grand Total</v>
      </c>
      <c r="C15" s="9">
        <f t="shared" si="1"/>
        <v>8036.5</v>
      </c>
      <c r="E15" t="str">
        <f>E8</f>
        <v>Home Goods</v>
      </c>
      <c r="F15" s="9">
        <f>IFERROR(VLOOKUP(E15,E8:F13,2,0),"")</f>
        <v>51359.74</v>
      </c>
      <c r="H15" t="str">
        <f t="shared" si="2"/>
        <v>Grand Total</v>
      </c>
      <c r="I15" s="9">
        <f t="shared" si="3"/>
        <v>208771.31</v>
      </c>
      <c r="K15" t="str">
        <f t="shared" si="4"/>
        <v>Grand Total</v>
      </c>
      <c r="L15" s="9">
        <f t="shared" si="5"/>
        <v>208771.31</v>
      </c>
      <c r="N15" s="6" t="s">
        <v>78</v>
      </c>
      <c r="O15" s="10">
        <v>9270.7800000000007</v>
      </c>
      <c r="Q15" t="str">
        <f>Q8</f>
        <v>Charlie</v>
      </c>
      <c r="R15" s="9">
        <f>IFERROR(VLOOKUP(Q15,Q8:R13,2,0),"")</f>
        <v>35076.949999999997</v>
      </c>
      <c r="U15" s="13"/>
    </row>
    <row r="16" spans="1:22">
      <c r="E16" t="str">
        <f>E9</f>
        <v>Sports</v>
      </c>
      <c r="F16" s="9">
        <f>IFERROR(VLOOKUP(E16,E9:F14,2,0),"")</f>
        <v>61905.38</v>
      </c>
      <c r="N16" s="6" t="s">
        <v>79</v>
      </c>
      <c r="O16" s="10">
        <v>5120.4799999999996</v>
      </c>
      <c r="Q16" t="str">
        <f>Q9</f>
        <v>Diana</v>
      </c>
      <c r="R16" s="9">
        <f>IFERROR(VLOOKUP(Q16,Q9:R14,2,0),"")</f>
        <v>33153.1</v>
      </c>
    </row>
    <row r="17" spans="5:18">
      <c r="E17" s="11" t="s">
        <v>62</v>
      </c>
      <c r="F17" s="12">
        <v>208771.31</v>
      </c>
      <c r="N17" s="6" t="s">
        <v>62</v>
      </c>
      <c r="O17" s="10">
        <v>208771.31</v>
      </c>
      <c r="Q17" s="11" t="s">
        <v>62</v>
      </c>
      <c r="R17" s="12">
        <v>208771.31</v>
      </c>
    </row>
    <row r="19" spans="5:18">
      <c r="N19" s="6" t="s">
        <v>80</v>
      </c>
      <c r="O19" s="9">
        <f>IFERROR(VLOOKUP(N19,N5:O17,2,0),"")</f>
        <v>24528.94</v>
      </c>
    </row>
    <row r="20" spans="5:18">
      <c r="N20" s="6" t="s">
        <v>81</v>
      </c>
      <c r="O20" s="9">
        <f t="shared" ref="O20:O31" si="9">IFERROR(VLOOKUP(N20,N6:O18,2,0),"")</f>
        <v>15451.27</v>
      </c>
    </row>
    <row r="21" spans="5:18">
      <c r="N21" s="6" t="s">
        <v>82</v>
      </c>
      <c r="O21" s="9">
        <f t="shared" si="9"/>
        <v>17672.21</v>
      </c>
    </row>
    <row r="22" spans="5:18">
      <c r="N22" s="6" t="s">
        <v>83</v>
      </c>
      <c r="O22" s="9">
        <f t="shared" si="9"/>
        <v>25578.95</v>
      </c>
    </row>
    <row r="23" spans="5:18">
      <c r="N23" s="6" t="s">
        <v>84</v>
      </c>
      <c r="O23" s="9">
        <f t="shared" si="9"/>
        <v>20630.37</v>
      </c>
    </row>
    <row r="24" spans="5:18">
      <c r="N24" s="6" t="s">
        <v>85</v>
      </c>
      <c r="O24" s="9">
        <f t="shared" si="9"/>
        <v>17614.05</v>
      </c>
    </row>
    <row r="25" spans="5:18">
      <c r="N25" s="6" t="s">
        <v>86</v>
      </c>
      <c r="O25" s="9">
        <f t="shared" si="9"/>
        <v>15549.45</v>
      </c>
    </row>
    <row r="26" spans="5:18">
      <c r="N26" s="6" t="s">
        <v>87</v>
      </c>
      <c r="O26" s="9">
        <f t="shared" si="9"/>
        <v>13249.36</v>
      </c>
    </row>
    <row r="27" spans="5:18">
      <c r="N27" s="6" t="s">
        <v>88</v>
      </c>
      <c r="O27" s="9">
        <f t="shared" si="9"/>
        <v>33596.71</v>
      </c>
    </row>
    <row r="28" spans="5:18">
      <c r="N28" s="6" t="s">
        <v>89</v>
      </c>
      <c r="O28" s="9">
        <f>IFERROR(VLOOKUP(N28,N14:O26,2,0),"")</f>
        <v>10508.74</v>
      </c>
    </row>
    <row r="29" spans="5:18">
      <c r="N29" s="6" t="s">
        <v>90</v>
      </c>
      <c r="O29" s="9">
        <f t="shared" si="9"/>
        <v>9270.7800000000007</v>
      </c>
    </row>
    <row r="30" spans="5:18">
      <c r="N30" s="6" t="s">
        <v>91</v>
      </c>
      <c r="O30" s="9">
        <f t="shared" si="9"/>
        <v>5120.4799999999996</v>
      </c>
    </row>
    <row r="31" spans="5:18">
      <c r="N31" s="6" t="s">
        <v>80</v>
      </c>
      <c r="O31" s="9">
        <f t="shared" si="9"/>
        <v>24528.94</v>
      </c>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2BC6C-74BD-4BF3-954A-E110503FBE73}">
  <dimension ref="A4:N154"/>
  <sheetViews>
    <sheetView showGridLines="0" tabSelected="1" topLeftCell="A3" zoomScale="68" workbookViewId="0"/>
  </sheetViews>
  <sheetFormatPr defaultColWidth="9.1796875" defaultRowHeight="14"/>
  <cols>
    <col min="1" max="1" width="13.1796875" style="1" bestFit="1" customWidth="1"/>
    <col min="2" max="2" width="16.08984375" style="1" customWidth="1"/>
    <col min="3" max="3" width="13.54296875" style="1" bestFit="1" customWidth="1"/>
    <col min="4" max="4" width="22.453125" style="1" customWidth="1"/>
    <col min="5" max="5" width="9.36328125" style="1" customWidth="1"/>
    <col min="6" max="6" width="15.26953125" style="1" customWidth="1"/>
    <col min="7" max="7" width="11.81640625" style="1" customWidth="1"/>
    <col min="8" max="8" width="12.08984375" style="1" customWidth="1"/>
    <col min="9" max="9" width="12.453125" style="1" customWidth="1"/>
    <col min="10" max="10" width="7.81640625" style="1" customWidth="1"/>
    <col min="11" max="11" width="18.26953125" style="1" customWidth="1"/>
    <col min="12" max="12" width="14.6328125" style="1" customWidth="1"/>
    <col min="13" max="13" width="17.81640625" style="1" customWidth="1"/>
    <col min="14" max="14" width="17.08984375" style="1" customWidth="1"/>
    <col min="15" max="16384" width="9.1796875" style="1"/>
  </cols>
  <sheetData>
    <row r="4" spans="1:14" ht="38.25" customHeight="1">
      <c r="A4" s="3" t="s">
        <v>0</v>
      </c>
      <c r="B4" s="3" t="s">
        <v>1</v>
      </c>
      <c r="C4" s="3" t="s">
        <v>2</v>
      </c>
      <c r="D4" s="3" t="s">
        <v>3</v>
      </c>
      <c r="E4" s="3" t="s">
        <v>4</v>
      </c>
      <c r="F4" s="3" t="s">
        <v>5</v>
      </c>
      <c r="G4" s="3" t="s">
        <v>6</v>
      </c>
      <c r="H4" s="3" t="s">
        <v>7</v>
      </c>
      <c r="I4" s="3" t="s">
        <v>8</v>
      </c>
      <c r="J4" s="3" t="s">
        <v>9</v>
      </c>
      <c r="K4" s="3" t="s">
        <v>10</v>
      </c>
      <c r="L4" s="3" t="s">
        <v>11</v>
      </c>
      <c r="M4" s="3" t="s">
        <v>12</v>
      </c>
      <c r="N4" s="3" t="s">
        <v>13</v>
      </c>
    </row>
    <row r="5" spans="1:14">
      <c r="A5" s="2">
        <v>45313</v>
      </c>
      <c r="B5" s="1" t="s">
        <v>14</v>
      </c>
      <c r="C5" s="1" t="s">
        <v>15</v>
      </c>
      <c r="D5" s="1" t="s">
        <v>16</v>
      </c>
      <c r="E5" s="1" t="s">
        <v>17</v>
      </c>
      <c r="F5" s="1">
        <v>1</v>
      </c>
      <c r="G5" s="1">
        <v>91.81</v>
      </c>
      <c r="H5" s="1">
        <v>91.81</v>
      </c>
      <c r="I5" s="1">
        <v>51.81</v>
      </c>
      <c r="J5" s="1">
        <v>40</v>
      </c>
      <c r="K5" s="1" t="s">
        <v>18</v>
      </c>
      <c r="L5" s="1" t="s">
        <v>19</v>
      </c>
      <c r="M5" s="1" t="s">
        <v>20</v>
      </c>
      <c r="N5" s="1" t="s">
        <v>21</v>
      </c>
    </row>
    <row r="6" spans="1:14">
      <c r="A6" s="2">
        <v>45571</v>
      </c>
      <c r="B6" s="1" t="s">
        <v>22</v>
      </c>
      <c r="C6" s="1" t="s">
        <v>15</v>
      </c>
      <c r="D6" s="1" t="s">
        <v>23</v>
      </c>
      <c r="E6" s="1" t="s">
        <v>24</v>
      </c>
      <c r="F6" s="1">
        <v>9</v>
      </c>
      <c r="G6" s="1">
        <v>462.17</v>
      </c>
      <c r="H6" s="1">
        <v>4159.53</v>
      </c>
      <c r="I6" s="1">
        <v>4099.53</v>
      </c>
      <c r="J6" s="1">
        <v>60</v>
      </c>
      <c r="K6" s="1" t="s">
        <v>25</v>
      </c>
      <c r="L6" s="1" t="s">
        <v>26</v>
      </c>
      <c r="M6" s="1" t="s">
        <v>27</v>
      </c>
      <c r="N6" s="1" t="s">
        <v>28</v>
      </c>
    </row>
    <row r="7" spans="1:14">
      <c r="A7" s="2">
        <v>45615</v>
      </c>
      <c r="B7" s="1" t="s">
        <v>29</v>
      </c>
      <c r="C7" s="1" t="s">
        <v>30</v>
      </c>
      <c r="D7" s="1" t="s">
        <v>23</v>
      </c>
      <c r="E7" s="1" t="s">
        <v>31</v>
      </c>
      <c r="F7" s="1">
        <v>7</v>
      </c>
      <c r="G7" s="1">
        <v>198.67</v>
      </c>
      <c r="H7" s="1">
        <v>1390.69</v>
      </c>
      <c r="I7" s="1">
        <v>1325.19</v>
      </c>
      <c r="J7" s="1">
        <v>65.5</v>
      </c>
      <c r="K7" s="1" t="s">
        <v>32</v>
      </c>
      <c r="L7" s="1" t="s">
        <v>33</v>
      </c>
      <c r="M7" s="1" t="s">
        <v>34</v>
      </c>
      <c r="N7" s="1" t="s">
        <v>35</v>
      </c>
    </row>
    <row r="8" spans="1:14">
      <c r="A8" s="2">
        <v>45530</v>
      </c>
      <c r="B8" s="1" t="s">
        <v>36</v>
      </c>
      <c r="C8" s="1" t="s">
        <v>15</v>
      </c>
      <c r="D8" s="1" t="s">
        <v>23</v>
      </c>
      <c r="E8" s="1" t="s">
        <v>31</v>
      </c>
      <c r="F8" s="1">
        <v>6</v>
      </c>
      <c r="G8" s="1">
        <v>125.67</v>
      </c>
      <c r="H8" s="1">
        <v>754.02</v>
      </c>
      <c r="I8" s="1">
        <v>705.02</v>
      </c>
      <c r="J8" s="1">
        <v>49</v>
      </c>
      <c r="K8" s="1" t="s">
        <v>18</v>
      </c>
      <c r="L8" s="1" t="s">
        <v>19</v>
      </c>
      <c r="M8" s="1" t="s">
        <v>37</v>
      </c>
      <c r="N8" s="1" t="s">
        <v>21</v>
      </c>
    </row>
    <row r="9" spans="1:14">
      <c r="A9" s="2">
        <v>45502</v>
      </c>
      <c r="B9" s="1" t="s">
        <v>38</v>
      </c>
      <c r="C9" s="1" t="s">
        <v>15</v>
      </c>
      <c r="D9" s="1" t="s">
        <v>23</v>
      </c>
      <c r="E9" s="1" t="s">
        <v>24</v>
      </c>
      <c r="F9" s="1">
        <v>5</v>
      </c>
      <c r="G9" s="1">
        <v>244.72</v>
      </c>
      <c r="H9" s="1">
        <v>1223.5999999999999</v>
      </c>
      <c r="I9" s="1">
        <v>1183.5999999999999</v>
      </c>
      <c r="J9" s="1">
        <v>40</v>
      </c>
      <c r="K9" s="1" t="s">
        <v>25</v>
      </c>
      <c r="L9" s="1" t="s">
        <v>26</v>
      </c>
      <c r="M9" s="1" t="s">
        <v>20</v>
      </c>
      <c r="N9" s="1" t="s">
        <v>28</v>
      </c>
    </row>
    <row r="10" spans="1:14">
      <c r="A10" s="2">
        <v>45633</v>
      </c>
      <c r="B10" s="1" t="s">
        <v>39</v>
      </c>
      <c r="C10" s="1" t="s">
        <v>40</v>
      </c>
      <c r="D10" s="1" t="s">
        <v>23</v>
      </c>
      <c r="E10" s="1" t="s">
        <v>24</v>
      </c>
      <c r="F10" s="1">
        <v>3</v>
      </c>
      <c r="G10" s="1">
        <v>117.66</v>
      </c>
      <c r="H10" s="1">
        <v>352.98</v>
      </c>
      <c r="I10" s="1">
        <v>292.98</v>
      </c>
      <c r="J10" s="1">
        <v>60</v>
      </c>
      <c r="K10" s="1" t="s">
        <v>32</v>
      </c>
      <c r="L10" s="1" t="s">
        <v>19</v>
      </c>
      <c r="M10" s="1" t="s">
        <v>27</v>
      </c>
      <c r="N10" s="1" t="s">
        <v>35</v>
      </c>
    </row>
    <row r="11" spans="1:14">
      <c r="A11" s="2">
        <v>45402</v>
      </c>
      <c r="B11" s="1" t="s">
        <v>41</v>
      </c>
      <c r="C11" s="1" t="s">
        <v>30</v>
      </c>
      <c r="D11" s="1" t="s">
        <v>42</v>
      </c>
      <c r="E11" s="1" t="s">
        <v>31</v>
      </c>
      <c r="F11" s="1">
        <v>5</v>
      </c>
      <c r="G11" s="1">
        <v>249.15</v>
      </c>
      <c r="H11" s="1">
        <v>1245.75</v>
      </c>
      <c r="I11" s="1">
        <v>1180.25</v>
      </c>
      <c r="J11" s="1">
        <v>65.5</v>
      </c>
      <c r="K11" s="1" t="s">
        <v>18</v>
      </c>
      <c r="L11" s="1" t="s">
        <v>33</v>
      </c>
      <c r="M11" s="1" t="s">
        <v>34</v>
      </c>
      <c r="N11" s="1" t="s">
        <v>21</v>
      </c>
    </row>
    <row r="12" spans="1:14">
      <c r="A12" s="2">
        <v>45614</v>
      </c>
      <c r="B12" s="1" t="s">
        <v>43</v>
      </c>
      <c r="C12" s="1" t="s">
        <v>44</v>
      </c>
      <c r="D12" s="1" t="s">
        <v>23</v>
      </c>
      <c r="E12" s="1" t="s">
        <v>24</v>
      </c>
      <c r="F12" s="1">
        <v>5</v>
      </c>
      <c r="G12" s="1">
        <v>337.68</v>
      </c>
      <c r="H12" s="1">
        <v>1688.4</v>
      </c>
      <c r="I12" s="1">
        <v>1639.4</v>
      </c>
      <c r="J12" s="1">
        <v>49</v>
      </c>
      <c r="K12" s="1" t="s">
        <v>25</v>
      </c>
      <c r="L12" s="1" t="s">
        <v>19</v>
      </c>
      <c r="M12" s="1" t="s">
        <v>37</v>
      </c>
      <c r="N12" s="1" t="s">
        <v>28</v>
      </c>
    </row>
    <row r="13" spans="1:14">
      <c r="A13" s="2">
        <v>45513</v>
      </c>
      <c r="B13" s="1" t="s">
        <v>45</v>
      </c>
      <c r="C13" s="1" t="s">
        <v>44</v>
      </c>
      <c r="D13" s="1" t="s">
        <v>42</v>
      </c>
      <c r="E13" s="1" t="s">
        <v>46</v>
      </c>
      <c r="F13" s="1">
        <v>5</v>
      </c>
      <c r="G13" s="1">
        <v>491.3</v>
      </c>
      <c r="H13" s="1">
        <v>2456.5</v>
      </c>
      <c r="I13" s="1">
        <v>2416.5</v>
      </c>
      <c r="J13" s="1">
        <v>40</v>
      </c>
      <c r="K13" s="1" t="s">
        <v>32</v>
      </c>
      <c r="L13" s="1" t="s">
        <v>26</v>
      </c>
      <c r="M13" s="1" t="s">
        <v>20</v>
      </c>
      <c r="N13" s="1" t="s">
        <v>35</v>
      </c>
    </row>
    <row r="14" spans="1:14">
      <c r="A14" s="2">
        <v>45597</v>
      </c>
      <c r="B14" s="1" t="s">
        <v>36</v>
      </c>
      <c r="C14" s="1" t="s">
        <v>15</v>
      </c>
      <c r="D14" s="1" t="s">
        <v>23</v>
      </c>
      <c r="E14" s="1" t="s">
        <v>31</v>
      </c>
      <c r="F14" s="1">
        <v>4</v>
      </c>
      <c r="G14" s="1">
        <v>394.42</v>
      </c>
      <c r="H14" s="1">
        <v>1577.68</v>
      </c>
      <c r="I14" s="1">
        <v>1517.68</v>
      </c>
      <c r="J14" s="1">
        <v>60</v>
      </c>
      <c r="K14" s="1" t="s">
        <v>18</v>
      </c>
      <c r="L14" s="1" t="s">
        <v>19</v>
      </c>
      <c r="M14" s="1" t="s">
        <v>27</v>
      </c>
      <c r="N14" s="1" t="s">
        <v>21</v>
      </c>
    </row>
    <row r="15" spans="1:14">
      <c r="A15" s="2">
        <v>45369</v>
      </c>
      <c r="B15" s="1" t="s">
        <v>47</v>
      </c>
      <c r="C15" s="1" t="s">
        <v>44</v>
      </c>
      <c r="D15" s="1" t="s">
        <v>16</v>
      </c>
      <c r="E15" s="1" t="s">
        <v>46</v>
      </c>
      <c r="F15" s="1">
        <v>2</v>
      </c>
      <c r="G15" s="1">
        <v>216.4</v>
      </c>
      <c r="H15" s="1">
        <v>432.8</v>
      </c>
      <c r="I15" s="1">
        <v>367.3</v>
      </c>
      <c r="J15" s="1">
        <v>65.5</v>
      </c>
      <c r="K15" s="1" t="s">
        <v>25</v>
      </c>
      <c r="L15" s="1" t="s">
        <v>26</v>
      </c>
      <c r="M15" s="1" t="s">
        <v>34</v>
      </c>
      <c r="N15" s="1" t="s">
        <v>28</v>
      </c>
    </row>
    <row r="16" spans="1:14">
      <c r="A16" s="2">
        <v>45318</v>
      </c>
      <c r="B16" s="1" t="s">
        <v>43</v>
      </c>
      <c r="C16" s="1" t="s">
        <v>44</v>
      </c>
      <c r="D16" s="1" t="s">
        <v>48</v>
      </c>
      <c r="E16" s="1" t="s">
        <v>31</v>
      </c>
      <c r="F16" s="1">
        <v>6</v>
      </c>
      <c r="G16" s="1">
        <v>457.22</v>
      </c>
      <c r="H16" s="1">
        <v>2743.32</v>
      </c>
      <c r="I16" s="1">
        <v>2694.32</v>
      </c>
      <c r="J16" s="1">
        <v>49</v>
      </c>
      <c r="K16" s="1" t="s">
        <v>32</v>
      </c>
      <c r="L16" s="1" t="s">
        <v>33</v>
      </c>
      <c r="M16" s="1" t="s">
        <v>37</v>
      </c>
      <c r="N16" s="1" t="s">
        <v>35</v>
      </c>
    </row>
    <row r="17" spans="1:14">
      <c r="A17" s="2">
        <v>45471</v>
      </c>
      <c r="B17" s="1" t="s">
        <v>14</v>
      </c>
      <c r="C17" s="1" t="s">
        <v>15</v>
      </c>
      <c r="D17" s="1" t="s">
        <v>42</v>
      </c>
      <c r="E17" s="1" t="s">
        <v>24</v>
      </c>
      <c r="F17" s="1">
        <v>8</v>
      </c>
      <c r="G17" s="1">
        <v>438.33</v>
      </c>
      <c r="H17" s="1">
        <v>3506.64</v>
      </c>
      <c r="I17" s="1">
        <v>3466.64</v>
      </c>
      <c r="J17" s="1">
        <v>40</v>
      </c>
      <c r="K17" s="1" t="s">
        <v>18</v>
      </c>
      <c r="L17" s="1" t="s">
        <v>19</v>
      </c>
      <c r="M17" s="1" t="s">
        <v>20</v>
      </c>
      <c r="N17" s="1" t="s">
        <v>21</v>
      </c>
    </row>
    <row r="18" spans="1:14">
      <c r="A18" s="2">
        <v>45587</v>
      </c>
      <c r="B18" s="1" t="s">
        <v>36</v>
      </c>
      <c r="C18" s="1" t="s">
        <v>15</v>
      </c>
      <c r="D18" s="1" t="s">
        <v>49</v>
      </c>
      <c r="E18" s="1" t="s">
        <v>31</v>
      </c>
      <c r="F18" s="1">
        <v>2</v>
      </c>
      <c r="G18" s="1">
        <v>56.98</v>
      </c>
      <c r="H18" s="1">
        <v>113.96</v>
      </c>
      <c r="I18" s="1">
        <v>53.959999999999994</v>
      </c>
      <c r="J18" s="1">
        <v>60</v>
      </c>
      <c r="K18" s="1" t="s">
        <v>25</v>
      </c>
      <c r="L18" s="1" t="s">
        <v>19</v>
      </c>
      <c r="M18" s="1" t="s">
        <v>27</v>
      </c>
      <c r="N18" s="1" t="s">
        <v>28</v>
      </c>
    </row>
    <row r="19" spans="1:14">
      <c r="A19" s="2">
        <v>45423</v>
      </c>
      <c r="B19" s="1" t="s">
        <v>47</v>
      </c>
      <c r="C19" s="1" t="s">
        <v>44</v>
      </c>
      <c r="D19" s="1" t="s">
        <v>49</v>
      </c>
      <c r="E19" s="1" t="s">
        <v>46</v>
      </c>
      <c r="F19" s="1">
        <v>1</v>
      </c>
      <c r="G19" s="1">
        <v>313.14</v>
      </c>
      <c r="H19" s="1">
        <v>313.14</v>
      </c>
      <c r="I19" s="1">
        <v>247.64</v>
      </c>
      <c r="J19" s="1">
        <v>65.5</v>
      </c>
      <c r="K19" s="1" t="s">
        <v>32</v>
      </c>
      <c r="L19" s="1" t="s">
        <v>33</v>
      </c>
      <c r="M19" s="1" t="s">
        <v>34</v>
      </c>
      <c r="N19" s="1" t="s">
        <v>35</v>
      </c>
    </row>
    <row r="20" spans="1:14">
      <c r="A20" s="2">
        <v>45322</v>
      </c>
      <c r="B20" s="1" t="s">
        <v>38</v>
      </c>
      <c r="C20" s="1" t="s">
        <v>15</v>
      </c>
      <c r="D20" s="1" t="s">
        <v>16</v>
      </c>
      <c r="E20" s="1" t="s">
        <v>24</v>
      </c>
      <c r="F20" s="1">
        <v>4</v>
      </c>
      <c r="G20" s="1">
        <v>53.03</v>
      </c>
      <c r="H20" s="1">
        <v>212.12</v>
      </c>
      <c r="I20" s="1">
        <v>163.12</v>
      </c>
      <c r="J20" s="1">
        <v>49</v>
      </c>
      <c r="K20" s="1" t="s">
        <v>18</v>
      </c>
      <c r="L20" s="1" t="s">
        <v>26</v>
      </c>
      <c r="M20" s="1" t="s">
        <v>37</v>
      </c>
      <c r="N20" s="1" t="s">
        <v>21</v>
      </c>
    </row>
    <row r="21" spans="1:14">
      <c r="A21" s="2">
        <v>45540</v>
      </c>
      <c r="B21" s="1" t="s">
        <v>50</v>
      </c>
      <c r="C21" s="1" t="s">
        <v>40</v>
      </c>
      <c r="D21" s="1" t="s">
        <v>42</v>
      </c>
      <c r="E21" s="1" t="s">
        <v>46</v>
      </c>
      <c r="F21" s="1">
        <v>10</v>
      </c>
      <c r="G21" s="1">
        <v>152.37</v>
      </c>
      <c r="H21" s="1">
        <v>1523.7</v>
      </c>
      <c r="I21" s="1">
        <v>1483.7</v>
      </c>
      <c r="J21" s="1">
        <v>40</v>
      </c>
      <c r="K21" s="1" t="s">
        <v>25</v>
      </c>
      <c r="L21" s="1" t="s">
        <v>19</v>
      </c>
      <c r="M21" s="1" t="s">
        <v>20</v>
      </c>
      <c r="N21" s="1" t="s">
        <v>28</v>
      </c>
    </row>
    <row r="22" spans="1:14">
      <c r="A22" s="2">
        <v>45461</v>
      </c>
      <c r="B22" s="1" t="s">
        <v>36</v>
      </c>
      <c r="C22" s="1" t="s">
        <v>15</v>
      </c>
      <c r="D22" s="1" t="s">
        <v>48</v>
      </c>
      <c r="E22" s="1" t="s">
        <v>46</v>
      </c>
      <c r="F22" s="1">
        <v>6</v>
      </c>
      <c r="G22" s="1">
        <v>132.59</v>
      </c>
      <c r="H22" s="1">
        <v>795.54</v>
      </c>
      <c r="I22" s="1">
        <v>735.54</v>
      </c>
      <c r="J22" s="1">
        <v>60</v>
      </c>
      <c r="K22" s="1" t="s">
        <v>32</v>
      </c>
      <c r="L22" s="1" t="s">
        <v>19</v>
      </c>
      <c r="M22" s="1" t="s">
        <v>27</v>
      </c>
      <c r="N22" s="1" t="s">
        <v>35</v>
      </c>
    </row>
    <row r="23" spans="1:14">
      <c r="A23" s="2">
        <v>45533</v>
      </c>
      <c r="B23" s="1" t="s">
        <v>41</v>
      </c>
      <c r="C23" s="1" t="s">
        <v>30</v>
      </c>
      <c r="D23" s="1" t="s">
        <v>49</v>
      </c>
      <c r="E23" s="1" t="s">
        <v>17</v>
      </c>
      <c r="F23" s="1">
        <v>5</v>
      </c>
      <c r="G23" s="1">
        <v>265.92</v>
      </c>
      <c r="H23" s="1">
        <v>1329.6</v>
      </c>
      <c r="I23" s="1">
        <v>1264.0999999999999</v>
      </c>
      <c r="J23" s="1">
        <v>65.5</v>
      </c>
      <c r="K23" s="1" t="s">
        <v>18</v>
      </c>
      <c r="L23" s="1" t="s">
        <v>26</v>
      </c>
      <c r="M23" s="1" t="s">
        <v>34</v>
      </c>
      <c r="N23" s="1" t="s">
        <v>21</v>
      </c>
    </row>
    <row r="24" spans="1:14">
      <c r="A24" s="2">
        <v>45461</v>
      </c>
      <c r="B24" s="1" t="s">
        <v>36</v>
      </c>
      <c r="C24" s="1" t="s">
        <v>15</v>
      </c>
      <c r="D24" s="1" t="s">
        <v>49</v>
      </c>
      <c r="E24" s="1" t="s">
        <v>46</v>
      </c>
      <c r="F24" s="1">
        <v>1</v>
      </c>
      <c r="G24" s="1">
        <v>492.81</v>
      </c>
      <c r="H24" s="1">
        <v>492.81</v>
      </c>
      <c r="I24" s="1">
        <v>443.81</v>
      </c>
      <c r="J24" s="1">
        <v>49</v>
      </c>
      <c r="K24" s="1" t="s">
        <v>25</v>
      </c>
      <c r="L24" s="1" t="s">
        <v>33</v>
      </c>
      <c r="M24" s="1" t="s">
        <v>37</v>
      </c>
      <c r="N24" s="1" t="s">
        <v>28</v>
      </c>
    </row>
    <row r="25" spans="1:14">
      <c r="A25" s="2">
        <v>45357</v>
      </c>
      <c r="B25" s="1" t="s">
        <v>38</v>
      </c>
      <c r="C25" s="1" t="s">
        <v>15</v>
      </c>
      <c r="D25" s="1" t="s">
        <v>49</v>
      </c>
      <c r="E25" s="1" t="s">
        <v>46</v>
      </c>
      <c r="F25" s="1">
        <v>1</v>
      </c>
      <c r="G25" s="1">
        <v>434.04</v>
      </c>
      <c r="H25" s="1">
        <v>434.04</v>
      </c>
      <c r="I25" s="1">
        <v>394.04</v>
      </c>
      <c r="J25" s="1">
        <v>40</v>
      </c>
      <c r="K25" s="1" t="s">
        <v>32</v>
      </c>
      <c r="L25" s="1" t="s">
        <v>19</v>
      </c>
      <c r="M25" s="1" t="s">
        <v>20</v>
      </c>
      <c r="N25" s="1" t="s">
        <v>35</v>
      </c>
    </row>
    <row r="26" spans="1:14">
      <c r="A26" s="2">
        <v>45436</v>
      </c>
      <c r="B26" s="1" t="s">
        <v>29</v>
      </c>
      <c r="C26" s="1" t="s">
        <v>30</v>
      </c>
      <c r="D26" s="1" t="s">
        <v>42</v>
      </c>
      <c r="E26" s="1" t="s">
        <v>17</v>
      </c>
      <c r="F26" s="1">
        <v>10</v>
      </c>
      <c r="G26" s="1">
        <v>462.7</v>
      </c>
      <c r="H26" s="1">
        <v>4627</v>
      </c>
      <c r="I26" s="1">
        <v>4567</v>
      </c>
      <c r="J26" s="1">
        <v>60</v>
      </c>
      <c r="K26" s="1" t="s">
        <v>18</v>
      </c>
      <c r="L26" s="1" t="s">
        <v>33</v>
      </c>
      <c r="M26" s="1" t="s">
        <v>27</v>
      </c>
      <c r="N26" s="1" t="s">
        <v>21</v>
      </c>
    </row>
    <row r="27" spans="1:14">
      <c r="A27" s="2">
        <v>45423</v>
      </c>
      <c r="B27" s="1" t="s">
        <v>36</v>
      </c>
      <c r="C27" s="1" t="s">
        <v>15</v>
      </c>
      <c r="D27" s="1" t="s">
        <v>48</v>
      </c>
      <c r="E27" s="1" t="s">
        <v>24</v>
      </c>
      <c r="F27" s="1">
        <v>2</v>
      </c>
      <c r="G27" s="1">
        <v>336.04</v>
      </c>
      <c r="H27" s="1">
        <v>672.08</v>
      </c>
      <c r="I27" s="1">
        <v>606.58000000000004</v>
      </c>
      <c r="J27" s="1">
        <v>65.5</v>
      </c>
      <c r="K27" s="1" t="s">
        <v>25</v>
      </c>
      <c r="L27" s="1" t="s">
        <v>19</v>
      </c>
      <c r="M27" s="1" t="s">
        <v>34</v>
      </c>
      <c r="N27" s="1" t="s">
        <v>28</v>
      </c>
    </row>
    <row r="28" spans="1:14">
      <c r="A28" s="2">
        <v>45578</v>
      </c>
      <c r="B28" s="1" t="s">
        <v>51</v>
      </c>
      <c r="C28" s="1" t="s">
        <v>52</v>
      </c>
      <c r="D28" s="1" t="s">
        <v>49</v>
      </c>
      <c r="E28" s="1" t="s">
        <v>24</v>
      </c>
      <c r="F28" s="1">
        <v>7</v>
      </c>
      <c r="G28" s="1">
        <v>349.53</v>
      </c>
      <c r="H28" s="1">
        <v>2446.71</v>
      </c>
      <c r="I28" s="1">
        <v>2397.71</v>
      </c>
      <c r="J28" s="1">
        <v>49</v>
      </c>
      <c r="K28" s="1" t="s">
        <v>32</v>
      </c>
      <c r="L28" s="1" t="s">
        <v>26</v>
      </c>
      <c r="M28" s="1" t="s">
        <v>37</v>
      </c>
      <c r="N28" s="1" t="s">
        <v>35</v>
      </c>
    </row>
    <row r="29" spans="1:14">
      <c r="A29" s="2">
        <v>45365</v>
      </c>
      <c r="B29" s="1" t="s">
        <v>38</v>
      </c>
      <c r="C29" s="1" t="s">
        <v>15</v>
      </c>
      <c r="D29" s="1" t="s">
        <v>23</v>
      </c>
      <c r="E29" s="1" t="s">
        <v>46</v>
      </c>
      <c r="F29" s="1">
        <v>5</v>
      </c>
      <c r="G29" s="1">
        <v>178.39</v>
      </c>
      <c r="H29" s="1">
        <v>891.95</v>
      </c>
      <c r="I29" s="1">
        <v>851.95</v>
      </c>
      <c r="J29" s="1">
        <v>40</v>
      </c>
      <c r="K29" s="1" t="s">
        <v>18</v>
      </c>
      <c r="L29" s="1" t="s">
        <v>26</v>
      </c>
      <c r="M29" s="1" t="s">
        <v>20</v>
      </c>
      <c r="N29" s="1" t="s">
        <v>21</v>
      </c>
    </row>
    <row r="30" spans="1:14">
      <c r="A30" s="2">
        <v>45559</v>
      </c>
      <c r="B30" s="1" t="s">
        <v>53</v>
      </c>
      <c r="C30" s="1" t="s">
        <v>40</v>
      </c>
      <c r="D30" s="1" t="s">
        <v>16</v>
      </c>
      <c r="E30" s="1" t="s">
        <v>31</v>
      </c>
      <c r="F30" s="1">
        <v>9</v>
      </c>
      <c r="G30" s="1">
        <v>479.97</v>
      </c>
      <c r="H30" s="1">
        <v>4319.7299999999996</v>
      </c>
      <c r="I30" s="1">
        <v>4259.7299999999996</v>
      </c>
      <c r="J30" s="1">
        <v>60</v>
      </c>
      <c r="K30" s="1" t="s">
        <v>25</v>
      </c>
      <c r="L30" s="1" t="s">
        <v>33</v>
      </c>
      <c r="M30" s="1" t="s">
        <v>27</v>
      </c>
      <c r="N30" s="1" t="s">
        <v>28</v>
      </c>
    </row>
    <row r="31" spans="1:14">
      <c r="A31" s="2">
        <v>45303</v>
      </c>
      <c r="B31" s="1" t="s">
        <v>53</v>
      </c>
      <c r="C31" s="1" t="s">
        <v>40</v>
      </c>
      <c r="D31" s="1" t="s">
        <v>42</v>
      </c>
      <c r="E31" s="1" t="s">
        <v>17</v>
      </c>
      <c r="F31" s="1">
        <v>1</v>
      </c>
      <c r="G31" s="1">
        <v>226.32</v>
      </c>
      <c r="H31" s="1">
        <v>226.32</v>
      </c>
      <c r="I31" s="1">
        <v>160.82</v>
      </c>
      <c r="J31" s="1">
        <v>65.5</v>
      </c>
      <c r="K31" s="1" t="s">
        <v>32</v>
      </c>
      <c r="L31" s="1" t="s">
        <v>19</v>
      </c>
      <c r="M31" s="1" t="s">
        <v>34</v>
      </c>
      <c r="N31" s="1" t="s">
        <v>35</v>
      </c>
    </row>
    <row r="32" spans="1:14">
      <c r="A32" s="2">
        <v>45545</v>
      </c>
      <c r="B32" s="1" t="s">
        <v>53</v>
      </c>
      <c r="C32" s="1" t="s">
        <v>40</v>
      </c>
      <c r="D32" s="1" t="s">
        <v>23</v>
      </c>
      <c r="E32" s="1" t="s">
        <v>31</v>
      </c>
      <c r="F32" s="1">
        <v>6</v>
      </c>
      <c r="G32" s="1">
        <v>430.69</v>
      </c>
      <c r="H32" s="1">
        <v>2584.14</v>
      </c>
      <c r="I32" s="1">
        <v>2535.14</v>
      </c>
      <c r="J32" s="1">
        <v>49</v>
      </c>
      <c r="K32" s="1" t="s">
        <v>18</v>
      </c>
      <c r="L32" s="1" t="s">
        <v>19</v>
      </c>
      <c r="M32" s="1" t="s">
        <v>37</v>
      </c>
      <c r="N32" s="1" t="s">
        <v>21</v>
      </c>
    </row>
    <row r="33" spans="1:14">
      <c r="A33" s="2">
        <v>45490</v>
      </c>
      <c r="B33" s="1" t="s">
        <v>41</v>
      </c>
      <c r="C33" s="1" t="s">
        <v>30</v>
      </c>
      <c r="D33" s="1" t="s">
        <v>23</v>
      </c>
      <c r="E33" s="1" t="s">
        <v>46</v>
      </c>
      <c r="F33" s="1">
        <v>3</v>
      </c>
      <c r="G33" s="1">
        <v>393.27</v>
      </c>
      <c r="H33" s="1">
        <v>1179.81</v>
      </c>
      <c r="I33" s="1">
        <v>1139.81</v>
      </c>
      <c r="J33" s="1">
        <v>40</v>
      </c>
      <c r="K33" s="1" t="s">
        <v>25</v>
      </c>
      <c r="L33" s="1" t="s">
        <v>26</v>
      </c>
      <c r="M33" s="1" t="s">
        <v>20</v>
      </c>
      <c r="N33" s="1" t="s">
        <v>28</v>
      </c>
    </row>
    <row r="34" spans="1:14">
      <c r="A34" s="2">
        <v>45371</v>
      </c>
      <c r="B34" s="1" t="s">
        <v>22</v>
      </c>
      <c r="C34" s="1" t="s">
        <v>15</v>
      </c>
      <c r="D34" s="1" t="s">
        <v>16</v>
      </c>
      <c r="E34" s="1" t="s">
        <v>24</v>
      </c>
      <c r="F34" s="1">
        <v>9</v>
      </c>
      <c r="G34" s="1">
        <v>475.63</v>
      </c>
      <c r="H34" s="1">
        <v>4280.67</v>
      </c>
      <c r="I34" s="1">
        <v>4220.67</v>
      </c>
      <c r="J34" s="1">
        <v>60</v>
      </c>
      <c r="K34" s="1" t="s">
        <v>32</v>
      </c>
      <c r="L34" s="1" t="s">
        <v>33</v>
      </c>
      <c r="M34" s="1" t="s">
        <v>27</v>
      </c>
      <c r="N34" s="1" t="s">
        <v>35</v>
      </c>
    </row>
    <row r="35" spans="1:14">
      <c r="A35" s="2">
        <v>45565</v>
      </c>
      <c r="B35" s="1" t="s">
        <v>22</v>
      </c>
      <c r="C35" s="1" t="s">
        <v>15</v>
      </c>
      <c r="D35" s="1" t="s">
        <v>16</v>
      </c>
      <c r="E35" s="1" t="s">
        <v>17</v>
      </c>
      <c r="F35" s="1">
        <v>1</v>
      </c>
      <c r="G35" s="1">
        <v>286.63</v>
      </c>
      <c r="H35" s="1">
        <v>286.63</v>
      </c>
      <c r="I35" s="1">
        <v>221.13</v>
      </c>
      <c r="J35" s="1">
        <v>65.5</v>
      </c>
      <c r="K35" s="1" t="s">
        <v>18</v>
      </c>
      <c r="L35" s="1" t="s">
        <v>19</v>
      </c>
      <c r="M35" s="1" t="s">
        <v>34</v>
      </c>
      <c r="N35" s="1" t="s">
        <v>21</v>
      </c>
    </row>
    <row r="36" spans="1:14">
      <c r="A36" s="2">
        <v>45545</v>
      </c>
      <c r="B36" s="1" t="s">
        <v>29</v>
      </c>
      <c r="C36" s="1" t="s">
        <v>30</v>
      </c>
      <c r="D36" s="1" t="s">
        <v>23</v>
      </c>
      <c r="E36" s="1" t="s">
        <v>31</v>
      </c>
      <c r="F36" s="1">
        <v>6</v>
      </c>
      <c r="G36" s="1">
        <v>66.28</v>
      </c>
      <c r="H36" s="1">
        <v>397.68</v>
      </c>
      <c r="I36" s="1">
        <v>348.68</v>
      </c>
      <c r="J36" s="1">
        <v>49</v>
      </c>
      <c r="K36" s="1" t="s">
        <v>25</v>
      </c>
      <c r="L36" s="1" t="s">
        <v>26</v>
      </c>
      <c r="M36" s="1" t="s">
        <v>37</v>
      </c>
      <c r="N36" s="1" t="s">
        <v>28</v>
      </c>
    </row>
    <row r="37" spans="1:14">
      <c r="A37" s="2">
        <v>45373</v>
      </c>
      <c r="B37" s="1" t="s">
        <v>54</v>
      </c>
      <c r="C37" s="1" t="s">
        <v>40</v>
      </c>
      <c r="D37" s="1" t="s">
        <v>49</v>
      </c>
      <c r="E37" s="1" t="s">
        <v>17</v>
      </c>
      <c r="F37" s="1">
        <v>1</v>
      </c>
      <c r="G37" s="1">
        <v>188.02</v>
      </c>
      <c r="H37" s="1">
        <v>188.02</v>
      </c>
      <c r="I37" s="1">
        <v>148.02000000000001</v>
      </c>
      <c r="J37" s="1">
        <v>40</v>
      </c>
      <c r="K37" s="1" t="s">
        <v>32</v>
      </c>
      <c r="L37" s="1" t="s">
        <v>19</v>
      </c>
      <c r="M37" s="1" t="s">
        <v>20</v>
      </c>
      <c r="N37" s="1" t="s">
        <v>35</v>
      </c>
    </row>
    <row r="38" spans="1:14">
      <c r="A38" s="2">
        <v>45328</v>
      </c>
      <c r="B38" s="1" t="s">
        <v>29</v>
      </c>
      <c r="C38" s="1" t="s">
        <v>30</v>
      </c>
      <c r="D38" s="1" t="s">
        <v>16</v>
      </c>
      <c r="E38" s="1" t="s">
        <v>31</v>
      </c>
      <c r="F38" s="1">
        <v>2</v>
      </c>
      <c r="G38" s="1">
        <v>163.61000000000001</v>
      </c>
      <c r="H38" s="1">
        <v>327.22000000000003</v>
      </c>
      <c r="I38" s="1">
        <v>267.22000000000003</v>
      </c>
      <c r="J38" s="1">
        <v>60</v>
      </c>
      <c r="K38" s="1" t="s">
        <v>18</v>
      </c>
      <c r="L38" s="1" t="s">
        <v>33</v>
      </c>
      <c r="M38" s="1" t="s">
        <v>27</v>
      </c>
      <c r="N38" s="1" t="s">
        <v>21</v>
      </c>
    </row>
    <row r="39" spans="1:14">
      <c r="A39" s="2">
        <v>45387</v>
      </c>
      <c r="B39" s="1" t="s">
        <v>50</v>
      </c>
      <c r="C39" s="1" t="s">
        <v>40</v>
      </c>
      <c r="D39" s="1" t="s">
        <v>23</v>
      </c>
      <c r="E39" s="1" t="s">
        <v>24</v>
      </c>
      <c r="F39" s="1">
        <v>5</v>
      </c>
      <c r="G39" s="1">
        <v>235.55</v>
      </c>
      <c r="H39" s="1">
        <v>1177.75</v>
      </c>
      <c r="I39" s="1">
        <v>1112.25</v>
      </c>
      <c r="J39" s="1">
        <v>65.5</v>
      </c>
      <c r="K39" s="1" t="s">
        <v>25</v>
      </c>
      <c r="L39" s="1" t="s">
        <v>26</v>
      </c>
      <c r="M39" s="1" t="s">
        <v>34</v>
      </c>
      <c r="N39" s="1" t="s">
        <v>28</v>
      </c>
    </row>
    <row r="40" spans="1:14">
      <c r="A40" s="2">
        <v>45408</v>
      </c>
      <c r="B40" s="1" t="s">
        <v>39</v>
      </c>
      <c r="C40" s="1" t="s">
        <v>40</v>
      </c>
      <c r="D40" s="1" t="s">
        <v>48</v>
      </c>
      <c r="E40" s="1" t="s">
        <v>24</v>
      </c>
      <c r="F40" s="1">
        <v>9</v>
      </c>
      <c r="G40" s="1">
        <v>342.15</v>
      </c>
      <c r="H40" s="1">
        <v>3079.35</v>
      </c>
      <c r="I40" s="1">
        <v>3030.35</v>
      </c>
      <c r="J40" s="1">
        <v>49</v>
      </c>
      <c r="K40" s="1" t="s">
        <v>32</v>
      </c>
      <c r="L40" s="1" t="s">
        <v>19</v>
      </c>
      <c r="M40" s="1" t="s">
        <v>37</v>
      </c>
      <c r="N40" s="1" t="s">
        <v>35</v>
      </c>
    </row>
    <row r="41" spans="1:14">
      <c r="A41" s="2">
        <v>45569</v>
      </c>
      <c r="B41" s="1" t="s">
        <v>55</v>
      </c>
      <c r="C41" s="1" t="s">
        <v>44</v>
      </c>
      <c r="D41" s="1" t="s">
        <v>23</v>
      </c>
      <c r="E41" s="1" t="s">
        <v>46</v>
      </c>
      <c r="F41" s="1">
        <v>4</v>
      </c>
      <c r="G41" s="1">
        <v>117.1</v>
      </c>
      <c r="H41" s="1">
        <v>468.4</v>
      </c>
      <c r="I41" s="1">
        <v>428.4</v>
      </c>
      <c r="J41" s="1">
        <v>40</v>
      </c>
      <c r="K41" s="1" t="s">
        <v>18</v>
      </c>
      <c r="L41" s="1" t="s">
        <v>33</v>
      </c>
      <c r="M41" s="1" t="s">
        <v>20</v>
      </c>
      <c r="N41" s="1" t="s">
        <v>21</v>
      </c>
    </row>
    <row r="42" spans="1:14">
      <c r="A42" s="2">
        <v>45396</v>
      </c>
      <c r="B42" s="1" t="s">
        <v>56</v>
      </c>
      <c r="C42" s="1" t="s">
        <v>52</v>
      </c>
      <c r="D42" s="1" t="s">
        <v>23</v>
      </c>
      <c r="E42" s="1" t="s">
        <v>31</v>
      </c>
      <c r="F42" s="1">
        <v>2</v>
      </c>
      <c r="G42" s="1">
        <v>416.69</v>
      </c>
      <c r="H42" s="1">
        <v>833.38</v>
      </c>
      <c r="I42" s="1">
        <v>773.38</v>
      </c>
      <c r="J42" s="1">
        <v>60</v>
      </c>
      <c r="K42" s="1" t="s">
        <v>25</v>
      </c>
      <c r="L42" s="1" t="s">
        <v>19</v>
      </c>
      <c r="M42" s="1" t="s">
        <v>27</v>
      </c>
      <c r="N42" s="1" t="s">
        <v>28</v>
      </c>
    </row>
    <row r="43" spans="1:14">
      <c r="A43" s="2">
        <v>45425</v>
      </c>
      <c r="B43" s="1" t="s">
        <v>14</v>
      </c>
      <c r="C43" s="1" t="s">
        <v>15</v>
      </c>
      <c r="D43" s="1" t="s">
        <v>49</v>
      </c>
      <c r="E43" s="1" t="s">
        <v>17</v>
      </c>
      <c r="F43" s="1">
        <v>8</v>
      </c>
      <c r="G43" s="1">
        <v>341.07</v>
      </c>
      <c r="H43" s="1">
        <v>2728.56</v>
      </c>
      <c r="I43" s="1">
        <v>2663.06</v>
      </c>
      <c r="J43" s="1">
        <v>65.5</v>
      </c>
      <c r="K43" s="1" t="s">
        <v>32</v>
      </c>
      <c r="L43" s="1" t="s">
        <v>26</v>
      </c>
      <c r="M43" s="1" t="s">
        <v>34</v>
      </c>
      <c r="N43" s="1" t="s">
        <v>35</v>
      </c>
    </row>
    <row r="44" spans="1:14">
      <c r="A44" s="2">
        <v>45460</v>
      </c>
      <c r="B44" s="1" t="s">
        <v>57</v>
      </c>
      <c r="C44" s="1" t="s">
        <v>30</v>
      </c>
      <c r="D44" s="1" t="s">
        <v>16</v>
      </c>
      <c r="E44" s="1" t="s">
        <v>31</v>
      </c>
      <c r="F44" s="1">
        <v>7</v>
      </c>
      <c r="G44" s="1">
        <v>76.53</v>
      </c>
      <c r="H44" s="1">
        <v>535.71</v>
      </c>
      <c r="I44" s="1">
        <v>486.71000000000004</v>
      </c>
      <c r="J44" s="1">
        <v>49</v>
      </c>
      <c r="K44" s="1" t="s">
        <v>18</v>
      </c>
      <c r="L44" s="1" t="s">
        <v>33</v>
      </c>
      <c r="M44" s="1" t="s">
        <v>37</v>
      </c>
      <c r="N44" s="1" t="s">
        <v>21</v>
      </c>
    </row>
    <row r="45" spans="1:14">
      <c r="A45" s="2">
        <v>45508</v>
      </c>
      <c r="B45" s="1" t="s">
        <v>36</v>
      </c>
      <c r="C45" s="1" t="s">
        <v>15</v>
      </c>
      <c r="D45" s="1" t="s">
        <v>49</v>
      </c>
      <c r="E45" s="1" t="s">
        <v>46</v>
      </c>
      <c r="F45" s="1">
        <v>5</v>
      </c>
      <c r="G45" s="1">
        <v>302.08</v>
      </c>
      <c r="H45" s="1">
        <v>1510.4</v>
      </c>
      <c r="I45" s="1">
        <v>1470.4</v>
      </c>
      <c r="J45" s="1">
        <v>40</v>
      </c>
      <c r="K45" s="1" t="s">
        <v>25</v>
      </c>
      <c r="L45" s="1" t="s">
        <v>19</v>
      </c>
      <c r="M45" s="1" t="s">
        <v>20</v>
      </c>
      <c r="N45" s="1" t="s">
        <v>28</v>
      </c>
    </row>
    <row r="46" spans="1:14">
      <c r="A46" s="2">
        <v>45406</v>
      </c>
      <c r="B46" s="1" t="s">
        <v>56</v>
      </c>
      <c r="C46" s="1" t="s">
        <v>52</v>
      </c>
      <c r="D46" s="1" t="s">
        <v>42</v>
      </c>
      <c r="E46" s="1" t="s">
        <v>24</v>
      </c>
      <c r="F46" s="1">
        <v>6</v>
      </c>
      <c r="G46" s="1">
        <v>343.96</v>
      </c>
      <c r="H46" s="1">
        <v>2063.7600000000002</v>
      </c>
      <c r="I46" s="1">
        <v>2003.7600000000002</v>
      </c>
      <c r="J46" s="1">
        <v>60</v>
      </c>
      <c r="K46" s="1" t="s">
        <v>32</v>
      </c>
      <c r="L46" s="1" t="s">
        <v>26</v>
      </c>
      <c r="M46" s="1" t="s">
        <v>27</v>
      </c>
      <c r="N46" s="1" t="s">
        <v>35</v>
      </c>
    </row>
    <row r="47" spans="1:14">
      <c r="A47" s="2">
        <v>45442</v>
      </c>
      <c r="B47" s="1" t="s">
        <v>36</v>
      </c>
      <c r="C47" s="1" t="s">
        <v>15</v>
      </c>
      <c r="D47" s="1" t="s">
        <v>42</v>
      </c>
      <c r="E47" s="1" t="s">
        <v>31</v>
      </c>
      <c r="F47" s="1">
        <v>3</v>
      </c>
      <c r="G47" s="1">
        <v>334.52</v>
      </c>
      <c r="H47" s="1">
        <v>1003.56</v>
      </c>
      <c r="I47" s="1">
        <v>938.06</v>
      </c>
      <c r="J47" s="1">
        <v>65.5</v>
      </c>
      <c r="K47" s="1" t="s">
        <v>18</v>
      </c>
      <c r="L47" s="1" t="s">
        <v>33</v>
      </c>
      <c r="M47" s="1" t="s">
        <v>34</v>
      </c>
      <c r="N47" s="1" t="s">
        <v>21</v>
      </c>
    </row>
    <row r="48" spans="1:14">
      <c r="A48" s="2">
        <v>45527</v>
      </c>
      <c r="B48" s="1" t="s">
        <v>36</v>
      </c>
      <c r="C48" s="1" t="s">
        <v>15</v>
      </c>
      <c r="D48" s="1" t="s">
        <v>49</v>
      </c>
      <c r="E48" s="1" t="s">
        <v>17</v>
      </c>
      <c r="F48" s="1">
        <v>6</v>
      </c>
      <c r="G48" s="1">
        <v>108.38</v>
      </c>
      <c r="H48" s="1">
        <v>650.28</v>
      </c>
      <c r="I48" s="1">
        <v>601.28</v>
      </c>
      <c r="J48" s="1">
        <v>49</v>
      </c>
      <c r="K48" s="1" t="s">
        <v>25</v>
      </c>
      <c r="L48" s="1" t="s">
        <v>19</v>
      </c>
      <c r="M48" s="1" t="s">
        <v>37</v>
      </c>
      <c r="N48" s="1" t="s">
        <v>28</v>
      </c>
    </row>
    <row r="49" spans="1:14">
      <c r="A49" s="2">
        <v>45511</v>
      </c>
      <c r="B49" s="1" t="s">
        <v>43</v>
      </c>
      <c r="C49" s="1" t="s">
        <v>44</v>
      </c>
      <c r="D49" s="1" t="s">
        <v>16</v>
      </c>
      <c r="E49" s="1" t="s">
        <v>17</v>
      </c>
      <c r="F49" s="1">
        <v>6</v>
      </c>
      <c r="G49" s="1">
        <v>135.08000000000001</v>
      </c>
      <c r="H49" s="1">
        <v>810.48</v>
      </c>
      <c r="I49" s="1">
        <v>770.48</v>
      </c>
      <c r="J49" s="1">
        <v>40</v>
      </c>
      <c r="K49" s="1" t="s">
        <v>32</v>
      </c>
      <c r="L49" s="1" t="s">
        <v>19</v>
      </c>
      <c r="M49" s="1" t="s">
        <v>20</v>
      </c>
      <c r="N49" s="1" t="s">
        <v>35</v>
      </c>
    </row>
    <row r="50" spans="1:14">
      <c r="A50" s="2">
        <v>45382</v>
      </c>
      <c r="B50" s="1" t="s">
        <v>38</v>
      </c>
      <c r="C50" s="1" t="s">
        <v>15</v>
      </c>
      <c r="D50" s="1" t="s">
        <v>49</v>
      </c>
      <c r="E50" s="1" t="s">
        <v>46</v>
      </c>
      <c r="F50" s="1">
        <v>8</v>
      </c>
      <c r="G50" s="1">
        <v>217.97</v>
      </c>
      <c r="H50" s="1">
        <v>1743.76</v>
      </c>
      <c r="I50" s="1">
        <v>1683.76</v>
      </c>
      <c r="J50" s="1">
        <v>60</v>
      </c>
      <c r="K50" s="1" t="s">
        <v>18</v>
      </c>
      <c r="L50" s="1" t="s">
        <v>33</v>
      </c>
      <c r="M50" s="1" t="s">
        <v>27</v>
      </c>
      <c r="N50" s="1" t="s">
        <v>21</v>
      </c>
    </row>
    <row r="51" spans="1:14">
      <c r="A51" s="2">
        <v>45318</v>
      </c>
      <c r="B51" s="1" t="s">
        <v>38</v>
      </c>
      <c r="C51" s="1" t="s">
        <v>15</v>
      </c>
      <c r="D51" s="1" t="s">
        <v>42</v>
      </c>
      <c r="E51" s="1" t="s">
        <v>31</v>
      </c>
      <c r="F51" s="1">
        <v>10</v>
      </c>
      <c r="G51" s="1">
        <v>315.7</v>
      </c>
      <c r="H51" s="1">
        <v>3157</v>
      </c>
      <c r="I51" s="1">
        <v>3091.5</v>
      </c>
      <c r="J51" s="1">
        <v>65.5</v>
      </c>
      <c r="K51" s="1" t="s">
        <v>25</v>
      </c>
      <c r="L51" s="1" t="s">
        <v>19</v>
      </c>
      <c r="M51" s="1" t="s">
        <v>34</v>
      </c>
      <c r="N51" s="1" t="s">
        <v>28</v>
      </c>
    </row>
    <row r="52" spans="1:14">
      <c r="A52" s="2">
        <v>45444</v>
      </c>
      <c r="B52" s="1" t="s">
        <v>53</v>
      </c>
      <c r="C52" s="1" t="s">
        <v>40</v>
      </c>
      <c r="D52" s="1" t="s">
        <v>42</v>
      </c>
      <c r="E52" s="1" t="s">
        <v>31</v>
      </c>
      <c r="F52" s="1">
        <v>4</v>
      </c>
      <c r="G52" s="1">
        <v>275.02999999999997</v>
      </c>
      <c r="H52" s="1">
        <v>1100.1199999999999</v>
      </c>
      <c r="I52" s="1">
        <v>1051.1199999999999</v>
      </c>
      <c r="J52" s="1">
        <v>49</v>
      </c>
      <c r="K52" s="1" t="s">
        <v>32</v>
      </c>
      <c r="L52" s="1" t="s">
        <v>26</v>
      </c>
      <c r="M52" s="1" t="s">
        <v>37</v>
      </c>
      <c r="N52" s="1" t="s">
        <v>35</v>
      </c>
    </row>
    <row r="53" spans="1:14">
      <c r="A53" s="2">
        <v>45389</v>
      </c>
      <c r="B53" s="1" t="s">
        <v>54</v>
      </c>
      <c r="C53" s="1" t="s">
        <v>40</v>
      </c>
      <c r="D53" s="1" t="s">
        <v>23</v>
      </c>
      <c r="E53" s="1" t="s">
        <v>46</v>
      </c>
      <c r="F53" s="1">
        <v>2</v>
      </c>
      <c r="G53" s="1">
        <v>333.53</v>
      </c>
      <c r="H53" s="1">
        <v>667.06</v>
      </c>
      <c r="I53" s="1">
        <v>627.05999999999995</v>
      </c>
      <c r="J53" s="1">
        <v>40</v>
      </c>
      <c r="K53" s="1" t="s">
        <v>18</v>
      </c>
      <c r="L53" s="1" t="s">
        <v>19</v>
      </c>
      <c r="M53" s="1" t="s">
        <v>20</v>
      </c>
      <c r="N53" s="1" t="s">
        <v>21</v>
      </c>
    </row>
    <row r="54" spans="1:14">
      <c r="A54" s="2">
        <v>45393</v>
      </c>
      <c r="B54" s="1" t="s">
        <v>45</v>
      </c>
      <c r="C54" s="1" t="s">
        <v>44</v>
      </c>
      <c r="D54" s="1" t="s">
        <v>23</v>
      </c>
      <c r="E54" s="1" t="s">
        <v>31</v>
      </c>
      <c r="F54" s="1">
        <v>10</v>
      </c>
      <c r="G54" s="1">
        <v>493.05</v>
      </c>
      <c r="H54" s="1">
        <v>4930.5</v>
      </c>
      <c r="I54" s="1">
        <v>4870.5</v>
      </c>
      <c r="J54" s="1">
        <v>60</v>
      </c>
      <c r="K54" s="1" t="s">
        <v>25</v>
      </c>
      <c r="L54" s="1" t="s">
        <v>33</v>
      </c>
      <c r="M54" s="1" t="s">
        <v>27</v>
      </c>
      <c r="N54" s="1" t="s">
        <v>28</v>
      </c>
    </row>
    <row r="55" spans="1:14">
      <c r="A55" s="2">
        <v>45314</v>
      </c>
      <c r="B55" s="1" t="s">
        <v>50</v>
      </c>
      <c r="C55" s="1" t="s">
        <v>40</v>
      </c>
      <c r="D55" s="1" t="s">
        <v>16</v>
      </c>
      <c r="E55" s="1" t="s">
        <v>24</v>
      </c>
      <c r="F55" s="1">
        <v>2</v>
      </c>
      <c r="G55" s="1">
        <v>154.16</v>
      </c>
      <c r="H55" s="1">
        <v>308.32</v>
      </c>
      <c r="I55" s="1">
        <v>242.82</v>
      </c>
      <c r="J55" s="1">
        <v>65.5</v>
      </c>
      <c r="K55" s="1" t="s">
        <v>32</v>
      </c>
      <c r="L55" s="1" t="s">
        <v>26</v>
      </c>
      <c r="M55" s="1" t="s">
        <v>34</v>
      </c>
      <c r="N55" s="1" t="s">
        <v>35</v>
      </c>
    </row>
    <row r="56" spans="1:14">
      <c r="A56" s="2">
        <v>45306</v>
      </c>
      <c r="B56" s="1" t="s">
        <v>58</v>
      </c>
      <c r="C56" s="1" t="s">
        <v>52</v>
      </c>
      <c r="D56" s="1" t="s">
        <v>48</v>
      </c>
      <c r="E56" s="1" t="s">
        <v>31</v>
      </c>
      <c r="F56" s="1">
        <v>10</v>
      </c>
      <c r="G56" s="1">
        <v>294.19</v>
      </c>
      <c r="H56" s="1">
        <v>2941.9</v>
      </c>
      <c r="I56" s="1">
        <v>2892.9</v>
      </c>
      <c r="J56" s="1">
        <v>49</v>
      </c>
      <c r="K56" s="1" t="s">
        <v>18</v>
      </c>
      <c r="L56" s="1" t="s">
        <v>19</v>
      </c>
      <c r="M56" s="1" t="s">
        <v>37</v>
      </c>
      <c r="N56" s="1" t="s">
        <v>21</v>
      </c>
    </row>
    <row r="57" spans="1:14">
      <c r="A57" s="2">
        <v>45330</v>
      </c>
      <c r="B57" s="1" t="s">
        <v>29</v>
      </c>
      <c r="C57" s="1" t="s">
        <v>30</v>
      </c>
      <c r="D57" s="1" t="s">
        <v>16</v>
      </c>
      <c r="E57" s="1" t="s">
        <v>17</v>
      </c>
      <c r="F57" s="1">
        <v>8</v>
      </c>
      <c r="G57" s="1">
        <v>307.88</v>
      </c>
      <c r="H57" s="1">
        <v>2463.04</v>
      </c>
      <c r="I57" s="1">
        <v>2423.04</v>
      </c>
      <c r="J57" s="1">
        <v>40</v>
      </c>
      <c r="K57" s="1" t="s">
        <v>25</v>
      </c>
      <c r="L57" s="1" t="s">
        <v>33</v>
      </c>
      <c r="M57" s="1" t="s">
        <v>20</v>
      </c>
      <c r="N57" s="1" t="s">
        <v>28</v>
      </c>
    </row>
    <row r="58" spans="1:14">
      <c r="A58" s="2">
        <v>45373</v>
      </c>
      <c r="B58" s="1" t="s">
        <v>55</v>
      </c>
      <c r="C58" s="1" t="s">
        <v>44</v>
      </c>
      <c r="D58" s="1" t="s">
        <v>48</v>
      </c>
      <c r="E58" s="1" t="s">
        <v>17</v>
      </c>
      <c r="F58" s="1">
        <v>10</v>
      </c>
      <c r="G58" s="1">
        <v>223.77</v>
      </c>
      <c r="H58" s="1">
        <v>2237.6999999999998</v>
      </c>
      <c r="I58" s="1">
        <v>2177.6999999999998</v>
      </c>
      <c r="J58" s="1">
        <v>60</v>
      </c>
      <c r="K58" s="1" t="s">
        <v>32</v>
      </c>
      <c r="L58" s="1" t="s">
        <v>19</v>
      </c>
      <c r="M58" s="1" t="s">
        <v>27</v>
      </c>
      <c r="N58" s="1" t="s">
        <v>35</v>
      </c>
    </row>
    <row r="59" spans="1:14">
      <c r="A59" s="2">
        <v>45369</v>
      </c>
      <c r="B59" s="1" t="s">
        <v>59</v>
      </c>
      <c r="C59" s="1" t="s">
        <v>30</v>
      </c>
      <c r="D59" s="1" t="s">
        <v>23</v>
      </c>
      <c r="E59" s="1" t="s">
        <v>46</v>
      </c>
      <c r="F59" s="1">
        <v>5</v>
      </c>
      <c r="G59" s="1">
        <v>83.92</v>
      </c>
      <c r="H59" s="1">
        <v>419.6</v>
      </c>
      <c r="I59" s="1">
        <v>354.1</v>
      </c>
      <c r="J59" s="1">
        <v>65.5</v>
      </c>
      <c r="K59" s="1" t="s">
        <v>18</v>
      </c>
      <c r="L59" s="1" t="s">
        <v>26</v>
      </c>
      <c r="M59" s="1" t="s">
        <v>34</v>
      </c>
      <c r="N59" s="1" t="s">
        <v>21</v>
      </c>
    </row>
    <row r="60" spans="1:14">
      <c r="A60" s="2">
        <v>45501</v>
      </c>
      <c r="B60" s="1" t="s">
        <v>50</v>
      </c>
      <c r="C60" s="1" t="s">
        <v>40</v>
      </c>
      <c r="D60" s="1" t="s">
        <v>49</v>
      </c>
      <c r="E60" s="1" t="s">
        <v>17</v>
      </c>
      <c r="F60" s="1">
        <v>3</v>
      </c>
      <c r="G60" s="1">
        <v>191.55</v>
      </c>
      <c r="H60" s="1">
        <v>574.65</v>
      </c>
      <c r="I60" s="1">
        <v>525.65</v>
      </c>
      <c r="J60" s="1">
        <v>49</v>
      </c>
      <c r="K60" s="1" t="s">
        <v>25</v>
      </c>
      <c r="L60" s="1" t="s">
        <v>33</v>
      </c>
      <c r="M60" s="1" t="s">
        <v>37</v>
      </c>
      <c r="N60" s="1" t="s">
        <v>28</v>
      </c>
    </row>
    <row r="61" spans="1:14">
      <c r="A61" s="2">
        <v>45536</v>
      </c>
      <c r="B61" s="1" t="s">
        <v>14</v>
      </c>
      <c r="C61" s="1" t="s">
        <v>15</v>
      </c>
      <c r="D61" s="1" t="s">
        <v>48</v>
      </c>
      <c r="E61" s="1" t="s">
        <v>31</v>
      </c>
      <c r="F61" s="1">
        <v>5</v>
      </c>
      <c r="G61" s="1">
        <v>290.39</v>
      </c>
      <c r="H61" s="1">
        <v>1451.95</v>
      </c>
      <c r="I61" s="1">
        <v>1411.95</v>
      </c>
      <c r="J61" s="1">
        <v>40</v>
      </c>
      <c r="K61" s="1" t="s">
        <v>32</v>
      </c>
      <c r="L61" s="1" t="s">
        <v>19</v>
      </c>
      <c r="M61" s="1" t="s">
        <v>20</v>
      </c>
      <c r="N61" s="1" t="s">
        <v>35</v>
      </c>
    </row>
    <row r="62" spans="1:14">
      <c r="A62" s="2">
        <v>45510</v>
      </c>
      <c r="B62" s="1" t="s">
        <v>54</v>
      </c>
      <c r="C62" s="1" t="s">
        <v>40</v>
      </c>
      <c r="D62" s="1" t="s">
        <v>16</v>
      </c>
      <c r="E62" s="1" t="s">
        <v>17</v>
      </c>
      <c r="F62" s="1">
        <v>8</v>
      </c>
      <c r="G62" s="1">
        <v>89.62</v>
      </c>
      <c r="H62" s="1">
        <v>716.96</v>
      </c>
      <c r="I62" s="1">
        <v>656.96</v>
      </c>
      <c r="J62" s="1">
        <v>60</v>
      </c>
      <c r="K62" s="1" t="s">
        <v>18</v>
      </c>
      <c r="L62" s="1" t="s">
        <v>26</v>
      </c>
      <c r="M62" s="1" t="s">
        <v>27</v>
      </c>
      <c r="N62" s="1" t="s">
        <v>21</v>
      </c>
    </row>
    <row r="63" spans="1:14">
      <c r="A63" s="2">
        <v>45543</v>
      </c>
      <c r="B63" s="1" t="s">
        <v>59</v>
      </c>
      <c r="C63" s="1" t="s">
        <v>30</v>
      </c>
      <c r="D63" s="1" t="s">
        <v>49</v>
      </c>
      <c r="E63" s="1" t="s">
        <v>24</v>
      </c>
      <c r="F63" s="1">
        <v>7</v>
      </c>
      <c r="G63" s="1">
        <v>252.53</v>
      </c>
      <c r="H63" s="1">
        <v>1767.71</v>
      </c>
      <c r="I63" s="1">
        <v>1702.21</v>
      </c>
      <c r="J63" s="1">
        <v>65.5</v>
      </c>
      <c r="K63" s="1" t="s">
        <v>25</v>
      </c>
      <c r="L63" s="1" t="s">
        <v>19</v>
      </c>
      <c r="M63" s="1" t="s">
        <v>34</v>
      </c>
      <c r="N63" s="1" t="s">
        <v>28</v>
      </c>
    </row>
    <row r="64" spans="1:14">
      <c r="A64" s="2">
        <v>45332</v>
      </c>
      <c r="B64" s="1" t="s">
        <v>43</v>
      </c>
      <c r="C64" s="1" t="s">
        <v>44</v>
      </c>
      <c r="D64" s="1" t="s">
        <v>42</v>
      </c>
      <c r="E64" s="1" t="s">
        <v>24</v>
      </c>
      <c r="F64" s="1">
        <v>9</v>
      </c>
      <c r="G64" s="1">
        <v>127.33</v>
      </c>
      <c r="H64" s="1">
        <v>1145.97</v>
      </c>
      <c r="I64" s="1">
        <v>1096.97</v>
      </c>
      <c r="J64" s="1">
        <v>49</v>
      </c>
      <c r="K64" s="1" t="s">
        <v>32</v>
      </c>
      <c r="L64" s="1" t="s">
        <v>33</v>
      </c>
      <c r="M64" s="1" t="s">
        <v>37</v>
      </c>
      <c r="N64" s="1" t="s">
        <v>35</v>
      </c>
    </row>
    <row r="65" spans="1:14">
      <c r="A65" s="2">
        <v>45537</v>
      </c>
      <c r="B65" s="1" t="s">
        <v>53</v>
      </c>
      <c r="C65" s="1" t="s">
        <v>40</v>
      </c>
      <c r="D65" s="1" t="s">
        <v>49</v>
      </c>
      <c r="E65" s="1" t="s">
        <v>17</v>
      </c>
      <c r="F65" s="1">
        <v>4</v>
      </c>
      <c r="G65" s="1">
        <v>165.21</v>
      </c>
      <c r="H65" s="1">
        <v>660.84</v>
      </c>
      <c r="I65" s="1">
        <v>620.84</v>
      </c>
      <c r="J65" s="1">
        <v>40</v>
      </c>
      <c r="K65" s="1" t="s">
        <v>18</v>
      </c>
      <c r="L65" s="1" t="s">
        <v>19</v>
      </c>
      <c r="M65" s="1" t="s">
        <v>20</v>
      </c>
      <c r="N65" s="1" t="s">
        <v>21</v>
      </c>
    </row>
    <row r="66" spans="1:14">
      <c r="A66" s="2">
        <v>45325</v>
      </c>
      <c r="B66" s="1" t="s">
        <v>38</v>
      </c>
      <c r="C66" s="1" t="s">
        <v>15</v>
      </c>
      <c r="D66" s="1" t="s">
        <v>16</v>
      </c>
      <c r="E66" s="1" t="s">
        <v>17</v>
      </c>
      <c r="F66" s="1">
        <v>8</v>
      </c>
      <c r="G66" s="1">
        <v>292.8</v>
      </c>
      <c r="H66" s="1">
        <v>2342.4</v>
      </c>
      <c r="I66" s="1">
        <v>2282.4</v>
      </c>
      <c r="J66" s="1">
        <v>60</v>
      </c>
      <c r="K66" s="1" t="s">
        <v>25</v>
      </c>
      <c r="L66" s="1" t="s">
        <v>26</v>
      </c>
      <c r="M66" s="1" t="s">
        <v>27</v>
      </c>
      <c r="N66" s="1" t="s">
        <v>28</v>
      </c>
    </row>
    <row r="67" spans="1:14">
      <c r="A67" s="2">
        <v>45341</v>
      </c>
      <c r="B67" s="1" t="s">
        <v>29</v>
      </c>
      <c r="C67" s="1" t="s">
        <v>30</v>
      </c>
      <c r="D67" s="1" t="s">
        <v>42</v>
      </c>
      <c r="E67" s="1" t="s">
        <v>24</v>
      </c>
      <c r="F67" s="1">
        <v>1</v>
      </c>
      <c r="G67" s="1">
        <v>327.33</v>
      </c>
      <c r="H67" s="1">
        <v>327.33</v>
      </c>
      <c r="I67" s="1">
        <v>261.83</v>
      </c>
      <c r="J67" s="1">
        <v>65.5</v>
      </c>
      <c r="K67" s="1" t="s">
        <v>32</v>
      </c>
      <c r="L67" s="1" t="s">
        <v>19</v>
      </c>
      <c r="M67" s="1" t="s">
        <v>34</v>
      </c>
      <c r="N67" s="1" t="s">
        <v>35</v>
      </c>
    </row>
    <row r="68" spans="1:14">
      <c r="A68" s="2">
        <v>45437</v>
      </c>
      <c r="B68" s="1" t="s">
        <v>22</v>
      </c>
      <c r="C68" s="1" t="s">
        <v>15</v>
      </c>
      <c r="D68" s="1" t="s">
        <v>48</v>
      </c>
      <c r="E68" s="1" t="s">
        <v>46</v>
      </c>
      <c r="F68" s="1">
        <v>6</v>
      </c>
      <c r="G68" s="1">
        <v>201.52</v>
      </c>
      <c r="H68" s="1">
        <v>1209.1199999999999</v>
      </c>
      <c r="I68" s="1">
        <v>1160.1199999999999</v>
      </c>
      <c r="J68" s="1">
        <v>49</v>
      </c>
      <c r="K68" s="1" t="s">
        <v>18</v>
      </c>
      <c r="L68" s="1" t="s">
        <v>33</v>
      </c>
      <c r="M68" s="1" t="s">
        <v>37</v>
      </c>
      <c r="N68" s="1" t="s">
        <v>21</v>
      </c>
    </row>
    <row r="69" spans="1:14">
      <c r="A69" s="2">
        <v>45399</v>
      </c>
      <c r="B69" s="1" t="s">
        <v>14</v>
      </c>
      <c r="C69" s="1" t="s">
        <v>15</v>
      </c>
      <c r="D69" s="1" t="s">
        <v>48</v>
      </c>
      <c r="E69" s="1" t="s">
        <v>31</v>
      </c>
      <c r="F69" s="1">
        <v>3</v>
      </c>
      <c r="G69" s="1">
        <v>487.82</v>
      </c>
      <c r="H69" s="1">
        <v>1463.46</v>
      </c>
      <c r="I69" s="1">
        <v>1423.46</v>
      </c>
      <c r="J69" s="1">
        <v>40</v>
      </c>
      <c r="K69" s="1" t="s">
        <v>25</v>
      </c>
      <c r="L69" s="1" t="s">
        <v>19</v>
      </c>
      <c r="M69" s="1" t="s">
        <v>20</v>
      </c>
      <c r="N69" s="1" t="s">
        <v>28</v>
      </c>
    </row>
    <row r="70" spans="1:14">
      <c r="A70" s="2">
        <v>45563</v>
      </c>
      <c r="B70" s="1" t="s">
        <v>43</v>
      </c>
      <c r="C70" s="1" t="s">
        <v>44</v>
      </c>
      <c r="D70" s="1" t="s">
        <v>48</v>
      </c>
      <c r="E70" s="1" t="s">
        <v>46</v>
      </c>
      <c r="F70" s="1">
        <v>9</v>
      </c>
      <c r="G70" s="1">
        <v>334.1</v>
      </c>
      <c r="H70" s="1">
        <v>3006.9</v>
      </c>
      <c r="I70" s="1">
        <v>2946.9</v>
      </c>
      <c r="J70" s="1">
        <v>60</v>
      </c>
      <c r="K70" s="1" t="s">
        <v>32</v>
      </c>
      <c r="L70" s="1" t="s">
        <v>26</v>
      </c>
      <c r="M70" s="1" t="s">
        <v>27</v>
      </c>
      <c r="N70" s="1" t="s">
        <v>35</v>
      </c>
    </row>
    <row r="71" spans="1:14">
      <c r="A71" s="2">
        <v>45328</v>
      </c>
      <c r="B71" s="1" t="s">
        <v>36</v>
      </c>
      <c r="C71" s="1" t="s">
        <v>15</v>
      </c>
      <c r="D71" s="1" t="s">
        <v>49</v>
      </c>
      <c r="E71" s="1" t="s">
        <v>31</v>
      </c>
      <c r="F71" s="1">
        <v>10</v>
      </c>
      <c r="G71" s="1">
        <v>88.48</v>
      </c>
      <c r="H71" s="1">
        <v>884.8</v>
      </c>
      <c r="I71" s="1">
        <v>819.3</v>
      </c>
      <c r="J71" s="1">
        <v>65.5</v>
      </c>
      <c r="K71" s="1" t="s">
        <v>18</v>
      </c>
      <c r="L71" s="1" t="s">
        <v>19</v>
      </c>
      <c r="M71" s="1" t="s">
        <v>34</v>
      </c>
      <c r="N71" s="1" t="s">
        <v>21</v>
      </c>
    </row>
    <row r="72" spans="1:14">
      <c r="A72" s="2">
        <v>45371</v>
      </c>
      <c r="B72" s="1" t="s">
        <v>38</v>
      </c>
      <c r="C72" s="1" t="s">
        <v>15</v>
      </c>
      <c r="D72" s="1" t="s">
        <v>23</v>
      </c>
      <c r="E72" s="1" t="s">
        <v>46</v>
      </c>
      <c r="F72" s="1">
        <v>2</v>
      </c>
      <c r="G72" s="1">
        <v>115.48</v>
      </c>
      <c r="H72" s="1">
        <v>230.96</v>
      </c>
      <c r="I72" s="1">
        <v>181.96</v>
      </c>
      <c r="J72" s="1">
        <v>49</v>
      </c>
      <c r="K72" s="1" t="s">
        <v>25</v>
      </c>
      <c r="L72" s="1" t="s">
        <v>33</v>
      </c>
      <c r="M72" s="1" t="s">
        <v>37</v>
      </c>
      <c r="N72" s="1" t="s">
        <v>28</v>
      </c>
    </row>
    <row r="73" spans="1:14">
      <c r="A73" s="2">
        <v>45425</v>
      </c>
      <c r="B73" s="1" t="s">
        <v>38</v>
      </c>
      <c r="C73" s="1" t="s">
        <v>15</v>
      </c>
      <c r="D73" s="1" t="s">
        <v>49</v>
      </c>
      <c r="E73" s="1" t="s">
        <v>24</v>
      </c>
      <c r="F73" s="1">
        <v>1</v>
      </c>
      <c r="G73" s="1">
        <v>187.15</v>
      </c>
      <c r="H73" s="1">
        <v>187.15</v>
      </c>
      <c r="I73" s="1">
        <v>147.15</v>
      </c>
      <c r="J73" s="1">
        <v>40</v>
      </c>
      <c r="K73" s="1" t="s">
        <v>32</v>
      </c>
      <c r="L73" s="1" t="s">
        <v>26</v>
      </c>
      <c r="M73" s="1" t="s">
        <v>20</v>
      </c>
      <c r="N73" s="1" t="s">
        <v>35</v>
      </c>
    </row>
    <row r="74" spans="1:14">
      <c r="A74" s="2">
        <v>45430</v>
      </c>
      <c r="B74" s="1" t="s">
        <v>45</v>
      </c>
      <c r="C74" s="1" t="s">
        <v>44</v>
      </c>
      <c r="D74" s="1" t="s">
        <v>48</v>
      </c>
      <c r="E74" s="1" t="s">
        <v>31</v>
      </c>
      <c r="F74" s="1">
        <v>8</v>
      </c>
      <c r="G74" s="1">
        <v>300.43</v>
      </c>
      <c r="H74" s="1">
        <v>2403.44</v>
      </c>
      <c r="I74" s="1">
        <v>2343.44</v>
      </c>
      <c r="J74" s="1">
        <v>60</v>
      </c>
      <c r="K74" s="1" t="s">
        <v>18</v>
      </c>
      <c r="L74" s="1" t="s">
        <v>19</v>
      </c>
      <c r="M74" s="1" t="s">
        <v>27</v>
      </c>
      <c r="N74" s="1" t="s">
        <v>21</v>
      </c>
    </row>
    <row r="75" spans="1:14">
      <c r="A75" s="2">
        <v>45295</v>
      </c>
      <c r="B75" s="1" t="s">
        <v>53</v>
      </c>
      <c r="C75" s="1" t="s">
        <v>40</v>
      </c>
      <c r="D75" s="1" t="s">
        <v>42</v>
      </c>
      <c r="E75" s="1" t="s">
        <v>31</v>
      </c>
      <c r="F75" s="1">
        <v>3</v>
      </c>
      <c r="G75" s="1">
        <v>22.62</v>
      </c>
      <c r="H75" s="1">
        <v>67.86</v>
      </c>
      <c r="I75" s="1">
        <v>2.3599999999999994</v>
      </c>
      <c r="J75" s="1">
        <v>65.5</v>
      </c>
      <c r="K75" s="1" t="s">
        <v>25</v>
      </c>
      <c r="L75" s="1" t="s">
        <v>19</v>
      </c>
      <c r="M75" s="1" t="s">
        <v>34</v>
      </c>
      <c r="N75" s="1" t="s">
        <v>28</v>
      </c>
    </row>
    <row r="76" spans="1:14">
      <c r="A76" s="2">
        <v>45384</v>
      </c>
      <c r="B76" s="1" t="s">
        <v>47</v>
      </c>
      <c r="C76" s="1" t="s">
        <v>44</v>
      </c>
      <c r="D76" s="1" t="s">
        <v>49</v>
      </c>
      <c r="E76" s="1" t="s">
        <v>46</v>
      </c>
      <c r="F76" s="1">
        <v>3</v>
      </c>
      <c r="G76" s="1">
        <v>295.91000000000003</v>
      </c>
      <c r="H76" s="1">
        <v>887.73</v>
      </c>
      <c r="I76" s="1">
        <v>838.73</v>
      </c>
      <c r="J76" s="1">
        <v>49</v>
      </c>
      <c r="K76" s="1" t="s">
        <v>32</v>
      </c>
      <c r="L76" s="1" t="s">
        <v>33</v>
      </c>
      <c r="M76" s="1" t="s">
        <v>37</v>
      </c>
      <c r="N76" s="1" t="s">
        <v>35</v>
      </c>
    </row>
    <row r="77" spans="1:14">
      <c r="A77" s="2">
        <v>45569</v>
      </c>
      <c r="B77" s="1" t="s">
        <v>43</v>
      </c>
      <c r="C77" s="1" t="s">
        <v>44</v>
      </c>
      <c r="D77" s="1" t="s">
        <v>42</v>
      </c>
      <c r="E77" s="1" t="s">
        <v>17</v>
      </c>
      <c r="F77" s="1">
        <v>3</v>
      </c>
      <c r="G77" s="1">
        <v>183.7</v>
      </c>
      <c r="H77" s="1">
        <v>551.1</v>
      </c>
      <c r="I77" s="1">
        <v>511.1</v>
      </c>
      <c r="J77" s="1">
        <v>40</v>
      </c>
      <c r="K77" s="1" t="s">
        <v>18</v>
      </c>
      <c r="L77" s="1" t="s">
        <v>26</v>
      </c>
      <c r="M77" s="1" t="s">
        <v>20</v>
      </c>
      <c r="N77" s="1" t="s">
        <v>21</v>
      </c>
    </row>
    <row r="78" spans="1:14">
      <c r="A78" s="2">
        <v>45416</v>
      </c>
      <c r="B78" s="1" t="s">
        <v>47</v>
      </c>
      <c r="C78" s="1" t="s">
        <v>44</v>
      </c>
      <c r="D78" s="1" t="s">
        <v>48</v>
      </c>
      <c r="E78" s="1" t="s">
        <v>24</v>
      </c>
      <c r="F78" s="1">
        <v>3</v>
      </c>
      <c r="G78" s="1">
        <v>269.45999999999998</v>
      </c>
      <c r="H78" s="1">
        <v>808.38</v>
      </c>
      <c r="I78" s="1">
        <v>748.38</v>
      </c>
      <c r="J78" s="1">
        <v>60</v>
      </c>
      <c r="K78" s="1" t="s">
        <v>25</v>
      </c>
      <c r="L78" s="1" t="s">
        <v>19</v>
      </c>
      <c r="M78" s="1" t="s">
        <v>27</v>
      </c>
      <c r="N78" s="1" t="s">
        <v>28</v>
      </c>
    </row>
    <row r="79" spans="1:14">
      <c r="A79" s="2">
        <v>45486</v>
      </c>
      <c r="B79" s="1" t="s">
        <v>47</v>
      </c>
      <c r="C79" s="1" t="s">
        <v>44</v>
      </c>
      <c r="D79" s="1" t="s">
        <v>23</v>
      </c>
      <c r="E79" s="1" t="s">
        <v>17</v>
      </c>
      <c r="F79" s="1">
        <v>4</v>
      </c>
      <c r="G79" s="1">
        <v>211.28</v>
      </c>
      <c r="H79" s="1">
        <v>845.12</v>
      </c>
      <c r="I79" s="1">
        <v>779.62</v>
      </c>
      <c r="J79" s="1">
        <v>65.5</v>
      </c>
      <c r="K79" s="1" t="s">
        <v>32</v>
      </c>
      <c r="L79" s="1" t="s">
        <v>26</v>
      </c>
      <c r="M79" s="1" t="s">
        <v>34</v>
      </c>
      <c r="N79" s="1" t="s">
        <v>35</v>
      </c>
    </row>
    <row r="80" spans="1:14">
      <c r="A80" s="2">
        <v>45490</v>
      </c>
      <c r="B80" s="1" t="s">
        <v>22</v>
      </c>
      <c r="C80" s="1" t="s">
        <v>15</v>
      </c>
      <c r="D80" s="1" t="s">
        <v>42</v>
      </c>
      <c r="E80" s="1" t="s">
        <v>24</v>
      </c>
      <c r="F80" s="1">
        <v>5</v>
      </c>
      <c r="G80" s="1">
        <v>362.47</v>
      </c>
      <c r="H80" s="1">
        <v>1812.35</v>
      </c>
      <c r="I80" s="1">
        <v>1763.35</v>
      </c>
      <c r="J80" s="1">
        <v>49</v>
      </c>
      <c r="K80" s="1" t="s">
        <v>18</v>
      </c>
      <c r="L80" s="1" t="s">
        <v>19</v>
      </c>
      <c r="M80" s="1" t="s">
        <v>37</v>
      </c>
      <c r="N80" s="1" t="s">
        <v>21</v>
      </c>
    </row>
    <row r="81" spans="1:14">
      <c r="A81" s="2">
        <v>45318</v>
      </c>
      <c r="B81" s="1" t="s">
        <v>51</v>
      </c>
      <c r="C81" s="1" t="s">
        <v>52</v>
      </c>
      <c r="D81" s="1" t="s">
        <v>48</v>
      </c>
      <c r="E81" s="1" t="s">
        <v>46</v>
      </c>
      <c r="F81" s="1">
        <v>8</v>
      </c>
      <c r="G81" s="1">
        <v>259.56</v>
      </c>
      <c r="H81" s="1">
        <v>2076.48</v>
      </c>
      <c r="I81" s="1">
        <v>2036.48</v>
      </c>
      <c r="J81" s="1">
        <v>40</v>
      </c>
      <c r="K81" s="1" t="s">
        <v>25</v>
      </c>
      <c r="L81" s="1" t="s">
        <v>19</v>
      </c>
      <c r="M81" s="1" t="s">
        <v>20</v>
      </c>
      <c r="N81" s="1" t="s">
        <v>28</v>
      </c>
    </row>
    <row r="82" spans="1:14">
      <c r="A82" s="2">
        <v>45330</v>
      </c>
      <c r="B82" s="1" t="s">
        <v>22</v>
      </c>
      <c r="C82" s="1" t="s">
        <v>15</v>
      </c>
      <c r="D82" s="1" t="s">
        <v>42</v>
      </c>
      <c r="E82" s="1" t="s">
        <v>46</v>
      </c>
      <c r="F82" s="1">
        <v>1</v>
      </c>
      <c r="G82" s="1">
        <v>134.63</v>
      </c>
      <c r="H82" s="1">
        <v>134.63</v>
      </c>
      <c r="I82" s="1">
        <v>74.63</v>
      </c>
      <c r="J82" s="1">
        <v>60</v>
      </c>
      <c r="K82" s="1" t="s">
        <v>32</v>
      </c>
      <c r="L82" s="1" t="s">
        <v>33</v>
      </c>
      <c r="M82" s="1" t="s">
        <v>27</v>
      </c>
      <c r="N82" s="1" t="s">
        <v>35</v>
      </c>
    </row>
    <row r="83" spans="1:14">
      <c r="A83" s="2">
        <v>45351</v>
      </c>
      <c r="B83" s="1" t="s">
        <v>47</v>
      </c>
      <c r="C83" s="1" t="s">
        <v>44</v>
      </c>
      <c r="D83" s="1" t="s">
        <v>48</v>
      </c>
      <c r="E83" s="1" t="s">
        <v>24</v>
      </c>
      <c r="F83" s="1">
        <v>10</v>
      </c>
      <c r="G83" s="1">
        <v>272.01</v>
      </c>
      <c r="H83" s="1">
        <v>2720.1</v>
      </c>
      <c r="I83" s="1">
        <v>2654.6</v>
      </c>
      <c r="J83" s="1">
        <v>65.5</v>
      </c>
      <c r="K83" s="1" t="s">
        <v>18</v>
      </c>
      <c r="L83" s="1" t="s">
        <v>26</v>
      </c>
      <c r="M83" s="1" t="s">
        <v>34</v>
      </c>
      <c r="N83" s="1" t="s">
        <v>21</v>
      </c>
    </row>
    <row r="84" spans="1:14">
      <c r="A84" s="2">
        <v>45473</v>
      </c>
      <c r="B84" s="1" t="s">
        <v>39</v>
      </c>
      <c r="C84" s="1" t="s">
        <v>40</v>
      </c>
      <c r="D84" s="1" t="s">
        <v>48</v>
      </c>
      <c r="E84" s="1" t="s">
        <v>46</v>
      </c>
      <c r="F84" s="1">
        <v>4</v>
      </c>
      <c r="G84" s="1">
        <v>265.89</v>
      </c>
      <c r="H84" s="1">
        <v>1063.56</v>
      </c>
      <c r="I84" s="1">
        <v>1014.56</v>
      </c>
      <c r="J84" s="1">
        <v>49</v>
      </c>
      <c r="K84" s="1" t="s">
        <v>25</v>
      </c>
      <c r="L84" s="1" t="s">
        <v>19</v>
      </c>
      <c r="M84" s="1" t="s">
        <v>37</v>
      </c>
      <c r="N84" s="1" t="s">
        <v>28</v>
      </c>
    </row>
    <row r="85" spans="1:14">
      <c r="A85" s="2">
        <v>45558</v>
      </c>
      <c r="B85" s="1" t="s">
        <v>43</v>
      </c>
      <c r="C85" s="1" t="s">
        <v>44</v>
      </c>
      <c r="D85" s="1" t="s">
        <v>16</v>
      </c>
      <c r="E85" s="1" t="s">
        <v>24</v>
      </c>
      <c r="F85" s="1">
        <v>4</v>
      </c>
      <c r="G85" s="1">
        <v>327.41000000000003</v>
      </c>
      <c r="H85" s="1">
        <v>1309.6400000000001</v>
      </c>
      <c r="I85" s="1">
        <v>1269.6400000000001</v>
      </c>
      <c r="J85" s="1">
        <v>40</v>
      </c>
      <c r="K85" s="1" t="s">
        <v>32</v>
      </c>
      <c r="L85" s="1" t="s">
        <v>19</v>
      </c>
      <c r="M85" s="1" t="s">
        <v>20</v>
      </c>
      <c r="N85" s="1" t="s">
        <v>35</v>
      </c>
    </row>
    <row r="86" spans="1:14">
      <c r="A86" s="2">
        <v>45309</v>
      </c>
      <c r="B86" s="1" t="s">
        <v>41</v>
      </c>
      <c r="C86" s="1" t="s">
        <v>30</v>
      </c>
      <c r="D86" s="1" t="s">
        <v>16</v>
      </c>
      <c r="E86" s="1" t="s">
        <v>17</v>
      </c>
      <c r="F86" s="1">
        <v>2</v>
      </c>
      <c r="G86" s="1">
        <v>395.91</v>
      </c>
      <c r="H86" s="1">
        <v>791.82</v>
      </c>
      <c r="I86" s="1">
        <v>731.82</v>
      </c>
      <c r="J86" s="1">
        <v>60</v>
      </c>
      <c r="K86" s="1" t="s">
        <v>18</v>
      </c>
      <c r="L86" s="1" t="s">
        <v>33</v>
      </c>
      <c r="M86" s="1" t="s">
        <v>27</v>
      </c>
      <c r="N86" s="1" t="s">
        <v>21</v>
      </c>
    </row>
    <row r="87" spans="1:14">
      <c r="A87" s="2">
        <v>45421</v>
      </c>
      <c r="B87" s="1" t="s">
        <v>45</v>
      </c>
      <c r="C87" s="1" t="s">
        <v>44</v>
      </c>
      <c r="D87" s="1" t="s">
        <v>23</v>
      </c>
      <c r="E87" s="1" t="s">
        <v>24</v>
      </c>
      <c r="F87" s="1">
        <v>10</v>
      </c>
      <c r="G87" s="1">
        <v>66.56</v>
      </c>
      <c r="H87" s="1">
        <v>665.6</v>
      </c>
      <c r="I87" s="1">
        <v>600.1</v>
      </c>
      <c r="J87" s="1">
        <v>65.5</v>
      </c>
      <c r="K87" s="1" t="s">
        <v>25</v>
      </c>
      <c r="L87" s="1" t="s">
        <v>26</v>
      </c>
      <c r="M87" s="1" t="s">
        <v>34</v>
      </c>
      <c r="N87" s="1" t="s">
        <v>28</v>
      </c>
    </row>
    <row r="88" spans="1:14">
      <c r="A88" s="2">
        <v>45469</v>
      </c>
      <c r="B88" s="1" t="s">
        <v>39</v>
      </c>
      <c r="C88" s="1" t="s">
        <v>40</v>
      </c>
      <c r="D88" s="1" t="s">
        <v>48</v>
      </c>
      <c r="E88" s="1" t="s">
        <v>31</v>
      </c>
      <c r="F88" s="1">
        <v>5</v>
      </c>
      <c r="G88" s="1">
        <v>432.3</v>
      </c>
      <c r="H88" s="1">
        <v>2161.5</v>
      </c>
      <c r="I88" s="1">
        <v>2112.5</v>
      </c>
      <c r="J88" s="1">
        <v>49</v>
      </c>
      <c r="K88" s="1" t="s">
        <v>32</v>
      </c>
      <c r="L88" s="1" t="s">
        <v>19</v>
      </c>
      <c r="M88" s="1" t="s">
        <v>37</v>
      </c>
      <c r="N88" s="1" t="s">
        <v>35</v>
      </c>
    </row>
    <row r="89" spans="1:14">
      <c r="A89" s="2">
        <v>45549</v>
      </c>
      <c r="B89" s="1" t="s">
        <v>38</v>
      </c>
      <c r="C89" s="1" t="s">
        <v>15</v>
      </c>
      <c r="D89" s="1" t="s">
        <v>42</v>
      </c>
      <c r="E89" s="1" t="s">
        <v>31</v>
      </c>
      <c r="F89" s="1">
        <v>7</v>
      </c>
      <c r="G89" s="1">
        <v>272.05</v>
      </c>
      <c r="H89" s="1">
        <v>1904.35</v>
      </c>
      <c r="I89" s="1">
        <v>1864.35</v>
      </c>
      <c r="J89" s="1">
        <v>40</v>
      </c>
      <c r="K89" s="1" t="s">
        <v>18</v>
      </c>
      <c r="L89" s="1" t="s">
        <v>19</v>
      </c>
      <c r="M89" s="1" t="s">
        <v>20</v>
      </c>
      <c r="N89" s="1" t="s">
        <v>21</v>
      </c>
    </row>
    <row r="90" spans="1:14">
      <c r="A90" s="2">
        <v>45484</v>
      </c>
      <c r="B90" s="1" t="s">
        <v>41</v>
      </c>
      <c r="C90" s="1" t="s">
        <v>30</v>
      </c>
      <c r="D90" s="1" t="s">
        <v>48</v>
      </c>
      <c r="E90" s="1" t="s">
        <v>46</v>
      </c>
      <c r="F90" s="1">
        <v>7</v>
      </c>
      <c r="G90" s="1">
        <v>301.27999999999997</v>
      </c>
      <c r="H90" s="1">
        <v>2108.96</v>
      </c>
      <c r="I90" s="1">
        <v>2048.96</v>
      </c>
      <c r="J90" s="1">
        <v>60</v>
      </c>
      <c r="K90" s="1" t="s">
        <v>25</v>
      </c>
      <c r="L90" s="1" t="s">
        <v>33</v>
      </c>
      <c r="M90" s="1" t="s">
        <v>27</v>
      </c>
      <c r="N90" s="1" t="s">
        <v>28</v>
      </c>
    </row>
    <row r="91" spans="1:14">
      <c r="A91" s="2">
        <v>45450</v>
      </c>
      <c r="B91" s="1" t="s">
        <v>38</v>
      </c>
      <c r="C91" s="1" t="s">
        <v>15</v>
      </c>
      <c r="D91" s="1" t="s">
        <v>42</v>
      </c>
      <c r="E91" s="1" t="s">
        <v>17</v>
      </c>
      <c r="F91" s="1">
        <v>9</v>
      </c>
      <c r="G91" s="1">
        <v>23.52</v>
      </c>
      <c r="H91" s="1">
        <v>211.68</v>
      </c>
      <c r="I91" s="1">
        <v>146.18</v>
      </c>
      <c r="J91" s="1">
        <v>65.5</v>
      </c>
      <c r="K91" s="1" t="s">
        <v>32</v>
      </c>
      <c r="L91" s="1" t="s">
        <v>19</v>
      </c>
      <c r="M91" s="1" t="s">
        <v>34</v>
      </c>
      <c r="N91" s="1" t="s">
        <v>35</v>
      </c>
    </row>
    <row r="92" spans="1:14">
      <c r="A92" s="2">
        <v>45491</v>
      </c>
      <c r="B92" s="1" t="s">
        <v>58</v>
      </c>
      <c r="C92" s="1" t="s">
        <v>52</v>
      </c>
      <c r="D92" s="1" t="s">
        <v>23</v>
      </c>
      <c r="E92" s="1" t="s">
        <v>17</v>
      </c>
      <c r="F92" s="1">
        <v>6</v>
      </c>
      <c r="G92" s="1">
        <v>281.85000000000002</v>
      </c>
      <c r="H92" s="1">
        <v>1691.1</v>
      </c>
      <c r="I92" s="1">
        <v>1642.1</v>
      </c>
      <c r="J92" s="1">
        <v>49</v>
      </c>
      <c r="K92" s="1" t="s">
        <v>18</v>
      </c>
      <c r="L92" s="1" t="s">
        <v>26</v>
      </c>
      <c r="M92" s="1" t="s">
        <v>37</v>
      </c>
      <c r="N92" s="1" t="s">
        <v>21</v>
      </c>
    </row>
    <row r="93" spans="1:14">
      <c r="A93" s="2">
        <v>45489</v>
      </c>
      <c r="B93" s="1" t="s">
        <v>14</v>
      </c>
      <c r="C93" s="1" t="s">
        <v>15</v>
      </c>
      <c r="D93" s="1" t="s">
        <v>48</v>
      </c>
      <c r="E93" s="1" t="s">
        <v>31</v>
      </c>
      <c r="F93" s="1">
        <v>6</v>
      </c>
      <c r="G93" s="1">
        <v>157.88</v>
      </c>
      <c r="H93" s="1">
        <v>947.28</v>
      </c>
      <c r="I93" s="1">
        <v>907.28</v>
      </c>
      <c r="J93" s="1">
        <v>40</v>
      </c>
      <c r="K93" s="1" t="s">
        <v>25</v>
      </c>
      <c r="L93" s="1" t="s">
        <v>33</v>
      </c>
      <c r="M93" s="1" t="s">
        <v>20</v>
      </c>
      <c r="N93" s="1" t="s">
        <v>28</v>
      </c>
    </row>
    <row r="94" spans="1:14">
      <c r="A94" s="2">
        <v>45566</v>
      </c>
      <c r="B94" s="1" t="s">
        <v>58</v>
      </c>
      <c r="C94" s="1" t="s">
        <v>52</v>
      </c>
      <c r="D94" s="1" t="s">
        <v>23</v>
      </c>
      <c r="E94" s="1" t="s">
        <v>17</v>
      </c>
      <c r="F94" s="1">
        <v>7</v>
      </c>
      <c r="G94" s="1">
        <v>98.66</v>
      </c>
      <c r="H94" s="1">
        <v>690.62</v>
      </c>
      <c r="I94" s="1">
        <v>630.62</v>
      </c>
      <c r="J94" s="1">
        <v>60</v>
      </c>
      <c r="K94" s="1" t="s">
        <v>32</v>
      </c>
      <c r="L94" s="1" t="s">
        <v>19</v>
      </c>
      <c r="M94" s="1" t="s">
        <v>27</v>
      </c>
      <c r="N94" s="1" t="s">
        <v>35</v>
      </c>
    </row>
    <row r="95" spans="1:14">
      <c r="A95" s="2">
        <v>45359</v>
      </c>
      <c r="B95" s="1" t="s">
        <v>58</v>
      </c>
      <c r="C95" s="1" t="s">
        <v>52</v>
      </c>
      <c r="D95" s="1" t="s">
        <v>42</v>
      </c>
      <c r="E95" s="1" t="s">
        <v>31</v>
      </c>
      <c r="F95" s="1">
        <v>2</v>
      </c>
      <c r="G95" s="1">
        <v>37.119999999999997</v>
      </c>
      <c r="H95" s="1">
        <v>74.239999999999995</v>
      </c>
      <c r="I95" s="1">
        <v>8.7399999999999949</v>
      </c>
      <c r="J95" s="1">
        <v>65.5</v>
      </c>
      <c r="K95" s="1" t="s">
        <v>18</v>
      </c>
      <c r="L95" s="1" t="s">
        <v>26</v>
      </c>
      <c r="M95" s="1" t="s">
        <v>34</v>
      </c>
      <c r="N95" s="1" t="s">
        <v>21</v>
      </c>
    </row>
    <row r="96" spans="1:14">
      <c r="A96" s="2">
        <v>45561</v>
      </c>
      <c r="B96" s="1" t="s">
        <v>53</v>
      </c>
      <c r="C96" s="1" t="s">
        <v>40</v>
      </c>
      <c r="D96" s="1" t="s">
        <v>42</v>
      </c>
      <c r="E96" s="1" t="s">
        <v>17</v>
      </c>
      <c r="F96" s="1">
        <v>9</v>
      </c>
      <c r="G96" s="1">
        <v>191.38</v>
      </c>
      <c r="H96" s="1">
        <v>1722.42</v>
      </c>
      <c r="I96" s="1">
        <v>1673.42</v>
      </c>
      <c r="J96" s="1">
        <v>49</v>
      </c>
      <c r="K96" s="1" t="s">
        <v>25</v>
      </c>
      <c r="L96" s="1" t="s">
        <v>33</v>
      </c>
      <c r="M96" s="1" t="s">
        <v>37</v>
      </c>
      <c r="N96" s="1" t="s">
        <v>28</v>
      </c>
    </row>
    <row r="97" spans="1:14">
      <c r="A97" s="2">
        <v>45403</v>
      </c>
      <c r="B97" s="1" t="s">
        <v>50</v>
      </c>
      <c r="C97" s="1" t="s">
        <v>40</v>
      </c>
      <c r="D97" s="1" t="s">
        <v>48</v>
      </c>
      <c r="E97" s="1" t="s">
        <v>24</v>
      </c>
      <c r="F97" s="1">
        <v>2</v>
      </c>
      <c r="G97" s="1">
        <v>301.12</v>
      </c>
      <c r="H97" s="1">
        <v>602.24</v>
      </c>
      <c r="I97" s="1">
        <v>562.24</v>
      </c>
      <c r="J97" s="1">
        <v>40</v>
      </c>
      <c r="K97" s="1" t="s">
        <v>32</v>
      </c>
      <c r="L97" s="1" t="s">
        <v>19</v>
      </c>
      <c r="M97" s="1" t="s">
        <v>20</v>
      </c>
      <c r="N97" s="1" t="s">
        <v>35</v>
      </c>
    </row>
    <row r="98" spans="1:14">
      <c r="A98" s="2">
        <v>45537</v>
      </c>
      <c r="B98" s="1" t="s">
        <v>56</v>
      </c>
      <c r="C98" s="1" t="s">
        <v>52</v>
      </c>
      <c r="D98" s="1" t="s">
        <v>49</v>
      </c>
      <c r="E98" s="1" t="s">
        <v>46</v>
      </c>
      <c r="F98" s="1">
        <v>4</v>
      </c>
      <c r="G98" s="1">
        <v>415.24</v>
      </c>
      <c r="H98" s="1">
        <v>1660.96</v>
      </c>
      <c r="I98" s="1">
        <v>1600.96</v>
      </c>
      <c r="J98" s="1">
        <v>60</v>
      </c>
      <c r="K98" s="1" t="s">
        <v>18</v>
      </c>
      <c r="L98" s="1" t="s">
        <v>19</v>
      </c>
      <c r="M98" s="1" t="s">
        <v>27</v>
      </c>
      <c r="N98" s="1" t="s">
        <v>21</v>
      </c>
    </row>
    <row r="99" spans="1:14">
      <c r="A99" s="2">
        <v>45321</v>
      </c>
      <c r="B99" s="1" t="s">
        <v>50</v>
      </c>
      <c r="C99" s="1" t="s">
        <v>40</v>
      </c>
      <c r="D99" s="1" t="s">
        <v>42</v>
      </c>
      <c r="E99" s="1" t="s">
        <v>17</v>
      </c>
      <c r="F99" s="1">
        <v>3</v>
      </c>
      <c r="G99" s="1">
        <v>115.83</v>
      </c>
      <c r="H99" s="1">
        <v>347.49</v>
      </c>
      <c r="I99" s="1">
        <v>281.99</v>
      </c>
      <c r="J99" s="1">
        <v>65.5</v>
      </c>
      <c r="K99" s="1" t="s">
        <v>25</v>
      </c>
      <c r="L99" s="1" t="s">
        <v>26</v>
      </c>
      <c r="M99" s="1" t="s">
        <v>34</v>
      </c>
      <c r="N99" s="1" t="s">
        <v>28</v>
      </c>
    </row>
    <row r="100" spans="1:14">
      <c r="A100" s="2">
        <v>45311</v>
      </c>
      <c r="B100" s="1" t="s">
        <v>59</v>
      </c>
      <c r="C100" s="1" t="s">
        <v>30</v>
      </c>
      <c r="D100" s="1" t="s">
        <v>42</v>
      </c>
      <c r="E100" s="1" t="s">
        <v>46</v>
      </c>
      <c r="F100" s="1">
        <v>6</v>
      </c>
      <c r="G100" s="1">
        <v>229.86</v>
      </c>
      <c r="H100" s="1">
        <v>1379.16</v>
      </c>
      <c r="I100" s="1">
        <v>1330.16</v>
      </c>
      <c r="J100" s="1">
        <v>49</v>
      </c>
      <c r="K100" s="1" t="s">
        <v>32</v>
      </c>
      <c r="L100" s="1" t="s">
        <v>19</v>
      </c>
      <c r="M100" s="1" t="s">
        <v>37</v>
      </c>
      <c r="N100" s="1" t="s">
        <v>35</v>
      </c>
    </row>
    <row r="101" spans="1:14">
      <c r="A101" s="2">
        <v>45552</v>
      </c>
      <c r="B101" s="1" t="s">
        <v>45</v>
      </c>
      <c r="C101" s="1" t="s">
        <v>44</v>
      </c>
      <c r="D101" s="1" t="s">
        <v>48</v>
      </c>
      <c r="E101" s="1" t="s">
        <v>31</v>
      </c>
      <c r="F101" s="1">
        <v>10</v>
      </c>
      <c r="G101" s="1">
        <v>98.84</v>
      </c>
      <c r="H101" s="1">
        <v>988.4</v>
      </c>
      <c r="I101" s="1">
        <v>948.4</v>
      </c>
      <c r="J101" s="1">
        <v>40</v>
      </c>
      <c r="K101" s="1" t="s">
        <v>18</v>
      </c>
      <c r="L101" s="1" t="s">
        <v>33</v>
      </c>
      <c r="M101" s="1" t="s">
        <v>20</v>
      </c>
      <c r="N101" s="1" t="s">
        <v>21</v>
      </c>
    </row>
    <row r="102" spans="1:14">
      <c r="A102" s="2">
        <v>45538</v>
      </c>
      <c r="B102" s="1" t="s">
        <v>60</v>
      </c>
      <c r="C102" s="1" t="s">
        <v>52</v>
      </c>
      <c r="D102" s="1" t="s">
        <v>48</v>
      </c>
      <c r="E102" s="1" t="s">
        <v>24</v>
      </c>
      <c r="F102" s="1">
        <v>10</v>
      </c>
      <c r="G102" s="1">
        <v>200.83</v>
      </c>
      <c r="H102" s="1">
        <v>2008.3</v>
      </c>
      <c r="I102" s="1">
        <v>1948.3</v>
      </c>
      <c r="J102" s="1">
        <v>60</v>
      </c>
      <c r="K102" s="1" t="s">
        <v>25</v>
      </c>
      <c r="L102" s="1" t="s">
        <v>26</v>
      </c>
      <c r="M102" s="1" t="s">
        <v>27</v>
      </c>
      <c r="N102" s="1" t="s">
        <v>28</v>
      </c>
    </row>
    <row r="103" spans="1:14">
      <c r="A103" s="2">
        <v>45633</v>
      </c>
      <c r="B103" s="1" t="s">
        <v>38</v>
      </c>
      <c r="C103" s="1" t="s">
        <v>15</v>
      </c>
      <c r="D103" s="1" t="s">
        <v>23</v>
      </c>
      <c r="E103" s="1" t="s">
        <v>46</v>
      </c>
      <c r="F103" s="1">
        <v>1</v>
      </c>
      <c r="G103" s="1">
        <v>310.54000000000002</v>
      </c>
      <c r="H103" s="1">
        <v>310.54000000000002</v>
      </c>
      <c r="I103" s="1">
        <v>245.04000000000002</v>
      </c>
      <c r="J103" s="1">
        <v>65.5</v>
      </c>
      <c r="K103" s="1" t="s">
        <v>32</v>
      </c>
      <c r="L103" s="1" t="s">
        <v>19</v>
      </c>
      <c r="M103" s="1" t="s">
        <v>34</v>
      </c>
      <c r="N103" s="1" t="s">
        <v>35</v>
      </c>
    </row>
    <row r="104" spans="1:14">
      <c r="A104" s="2">
        <v>45444</v>
      </c>
      <c r="B104" s="1" t="s">
        <v>39</v>
      </c>
      <c r="C104" s="1" t="s">
        <v>40</v>
      </c>
      <c r="D104" s="1" t="s">
        <v>48</v>
      </c>
      <c r="E104" s="1" t="s">
        <v>24</v>
      </c>
      <c r="F104" s="1">
        <v>8</v>
      </c>
      <c r="G104" s="1">
        <v>228.57</v>
      </c>
      <c r="H104" s="1">
        <v>1828.56</v>
      </c>
      <c r="I104" s="1">
        <v>1779.56</v>
      </c>
      <c r="J104" s="1">
        <v>49</v>
      </c>
      <c r="K104" s="1" t="s">
        <v>18</v>
      </c>
      <c r="L104" s="1" t="s">
        <v>33</v>
      </c>
      <c r="M104" s="1" t="s">
        <v>37</v>
      </c>
      <c r="N104" s="1" t="s">
        <v>21</v>
      </c>
    </row>
    <row r="105" spans="1:14">
      <c r="A105" s="2">
        <v>45532</v>
      </c>
      <c r="B105" s="1" t="s">
        <v>43</v>
      </c>
      <c r="C105" s="1" t="s">
        <v>44</v>
      </c>
      <c r="D105" s="1" t="s">
        <v>49</v>
      </c>
      <c r="E105" s="1" t="s">
        <v>31</v>
      </c>
      <c r="F105" s="1">
        <v>2</v>
      </c>
      <c r="G105" s="1">
        <v>495.03</v>
      </c>
      <c r="H105" s="1">
        <v>990.06</v>
      </c>
      <c r="I105" s="1">
        <v>950.06</v>
      </c>
      <c r="J105" s="1">
        <v>40</v>
      </c>
      <c r="K105" s="1" t="s">
        <v>25</v>
      </c>
      <c r="L105" s="1" t="s">
        <v>19</v>
      </c>
      <c r="M105" s="1" t="s">
        <v>20</v>
      </c>
      <c r="N105" s="1" t="s">
        <v>28</v>
      </c>
    </row>
    <row r="106" spans="1:14">
      <c r="A106" s="2">
        <v>45409</v>
      </c>
      <c r="B106" s="1" t="s">
        <v>59</v>
      </c>
      <c r="C106" s="1" t="s">
        <v>30</v>
      </c>
      <c r="D106" s="1" t="s">
        <v>48</v>
      </c>
      <c r="E106" s="1" t="s">
        <v>46</v>
      </c>
      <c r="F106" s="1">
        <v>7</v>
      </c>
      <c r="G106" s="1">
        <v>75.27</v>
      </c>
      <c r="H106" s="1">
        <v>526.89</v>
      </c>
      <c r="I106" s="1">
        <v>466.89</v>
      </c>
      <c r="J106" s="1">
        <v>60</v>
      </c>
      <c r="K106" s="1" t="s">
        <v>32</v>
      </c>
      <c r="L106" s="1" t="s">
        <v>26</v>
      </c>
      <c r="M106" s="1" t="s">
        <v>27</v>
      </c>
      <c r="N106" s="1" t="s">
        <v>35</v>
      </c>
    </row>
    <row r="107" spans="1:14">
      <c r="A107" s="2">
        <v>45364</v>
      </c>
      <c r="B107" s="1" t="s">
        <v>29</v>
      </c>
      <c r="C107" s="1" t="s">
        <v>30</v>
      </c>
      <c r="D107" s="1" t="s">
        <v>23</v>
      </c>
      <c r="E107" s="1" t="s">
        <v>17</v>
      </c>
      <c r="F107" s="1">
        <v>6</v>
      </c>
      <c r="G107" s="1">
        <v>156.28</v>
      </c>
      <c r="H107" s="1">
        <v>937.68</v>
      </c>
      <c r="I107" s="1">
        <v>872.18</v>
      </c>
      <c r="J107" s="1">
        <v>65.5</v>
      </c>
      <c r="K107" s="1" t="s">
        <v>18</v>
      </c>
      <c r="L107" s="1" t="s">
        <v>19</v>
      </c>
      <c r="M107" s="1" t="s">
        <v>34</v>
      </c>
      <c r="N107" s="1" t="s">
        <v>21</v>
      </c>
    </row>
    <row r="108" spans="1:14">
      <c r="A108" s="2">
        <v>45536</v>
      </c>
      <c r="B108" s="1" t="s">
        <v>39</v>
      </c>
      <c r="C108" s="1" t="s">
        <v>40</v>
      </c>
      <c r="D108" s="1" t="s">
        <v>42</v>
      </c>
      <c r="E108" s="1" t="s">
        <v>46</v>
      </c>
      <c r="F108" s="1">
        <v>5</v>
      </c>
      <c r="G108" s="1">
        <v>273.58</v>
      </c>
      <c r="H108" s="1">
        <v>1367.9</v>
      </c>
      <c r="I108" s="1">
        <v>1318.9</v>
      </c>
      <c r="J108" s="1">
        <v>49</v>
      </c>
      <c r="K108" s="1" t="s">
        <v>25</v>
      </c>
      <c r="L108" s="1" t="s">
        <v>33</v>
      </c>
      <c r="M108" s="1" t="s">
        <v>37</v>
      </c>
      <c r="N108" s="1" t="s">
        <v>28</v>
      </c>
    </row>
    <row r="109" spans="1:14">
      <c r="A109" s="2">
        <v>45395</v>
      </c>
      <c r="B109" s="1" t="s">
        <v>14</v>
      </c>
      <c r="C109" s="1" t="s">
        <v>15</v>
      </c>
      <c r="D109" s="1" t="s">
        <v>48</v>
      </c>
      <c r="E109" s="1" t="s">
        <v>24</v>
      </c>
      <c r="F109" s="1">
        <v>9</v>
      </c>
      <c r="G109" s="1">
        <v>393.82</v>
      </c>
      <c r="H109" s="1">
        <v>3544.38</v>
      </c>
      <c r="I109" s="1">
        <v>3504.38</v>
      </c>
      <c r="J109" s="1">
        <v>40</v>
      </c>
      <c r="K109" s="1" t="s">
        <v>32</v>
      </c>
      <c r="L109" s="1" t="s">
        <v>19</v>
      </c>
      <c r="M109" s="1" t="s">
        <v>20</v>
      </c>
      <c r="N109" s="1" t="s">
        <v>35</v>
      </c>
    </row>
    <row r="110" spans="1:14">
      <c r="A110" s="2">
        <v>45489</v>
      </c>
      <c r="B110" s="1" t="s">
        <v>47</v>
      </c>
      <c r="C110" s="1" t="s">
        <v>44</v>
      </c>
      <c r="D110" s="1" t="s">
        <v>49</v>
      </c>
      <c r="E110" s="1" t="s">
        <v>31</v>
      </c>
      <c r="F110" s="1">
        <v>5</v>
      </c>
      <c r="G110" s="1">
        <v>439.15</v>
      </c>
      <c r="H110" s="1">
        <v>2195.75</v>
      </c>
      <c r="I110" s="1">
        <v>2135.75</v>
      </c>
      <c r="J110" s="1">
        <v>60</v>
      </c>
      <c r="K110" s="1" t="s">
        <v>18</v>
      </c>
      <c r="L110" s="1" t="s">
        <v>26</v>
      </c>
      <c r="M110" s="1" t="s">
        <v>27</v>
      </c>
      <c r="N110" s="1" t="s">
        <v>21</v>
      </c>
    </row>
    <row r="111" spans="1:14">
      <c r="A111" s="2">
        <v>45314</v>
      </c>
      <c r="B111" s="1" t="s">
        <v>47</v>
      </c>
      <c r="C111" s="1" t="s">
        <v>44</v>
      </c>
      <c r="D111" s="1" t="s">
        <v>49</v>
      </c>
      <c r="E111" s="1" t="s">
        <v>31</v>
      </c>
      <c r="F111" s="1">
        <v>5</v>
      </c>
      <c r="G111" s="1">
        <v>417.04</v>
      </c>
      <c r="H111" s="1">
        <v>2085.1999999999998</v>
      </c>
      <c r="I111" s="1">
        <v>2019.6999999999998</v>
      </c>
      <c r="J111" s="1">
        <v>65.5</v>
      </c>
      <c r="K111" s="1" t="s">
        <v>25</v>
      </c>
      <c r="L111" s="1" t="s">
        <v>19</v>
      </c>
      <c r="M111" s="1" t="s">
        <v>34</v>
      </c>
      <c r="N111" s="1" t="s">
        <v>28</v>
      </c>
    </row>
    <row r="112" spans="1:14">
      <c r="A112" s="2">
        <v>45318</v>
      </c>
      <c r="B112" s="1" t="s">
        <v>47</v>
      </c>
      <c r="C112" s="1" t="s">
        <v>44</v>
      </c>
      <c r="D112" s="1" t="s">
        <v>42</v>
      </c>
      <c r="E112" s="1" t="s">
        <v>24</v>
      </c>
      <c r="F112" s="1">
        <v>7</v>
      </c>
      <c r="G112" s="1">
        <v>178.61</v>
      </c>
      <c r="H112" s="1">
        <v>1250.27</v>
      </c>
      <c r="I112" s="1">
        <v>1201.27</v>
      </c>
      <c r="J112" s="1">
        <v>49</v>
      </c>
      <c r="K112" s="1" t="s">
        <v>32</v>
      </c>
      <c r="L112" s="1" t="s">
        <v>33</v>
      </c>
      <c r="M112" s="1" t="s">
        <v>37</v>
      </c>
      <c r="N112" s="1" t="s">
        <v>35</v>
      </c>
    </row>
    <row r="113" spans="1:14">
      <c r="A113" s="2">
        <v>45466</v>
      </c>
      <c r="B113" s="1" t="s">
        <v>56</v>
      </c>
      <c r="C113" s="1" t="s">
        <v>52</v>
      </c>
      <c r="D113" s="1" t="s">
        <v>42</v>
      </c>
      <c r="E113" s="1" t="s">
        <v>17</v>
      </c>
      <c r="F113" s="1">
        <v>7</v>
      </c>
      <c r="G113" s="1">
        <v>161.06</v>
      </c>
      <c r="H113" s="1">
        <v>1127.42</v>
      </c>
      <c r="I113" s="1">
        <v>1087.42</v>
      </c>
      <c r="J113" s="1">
        <v>40</v>
      </c>
      <c r="K113" s="1" t="s">
        <v>18</v>
      </c>
      <c r="L113" s="1" t="s">
        <v>19</v>
      </c>
      <c r="M113" s="1" t="s">
        <v>20</v>
      </c>
      <c r="N113" s="1" t="s">
        <v>21</v>
      </c>
    </row>
    <row r="114" spans="1:14">
      <c r="A114" s="2">
        <v>45627</v>
      </c>
      <c r="B114" s="1" t="s">
        <v>45</v>
      </c>
      <c r="C114" s="1" t="s">
        <v>44</v>
      </c>
      <c r="D114" s="1" t="s">
        <v>23</v>
      </c>
      <c r="E114" s="1" t="s">
        <v>46</v>
      </c>
      <c r="F114" s="1">
        <v>4</v>
      </c>
      <c r="G114" s="1">
        <v>23.62</v>
      </c>
      <c r="H114" s="1">
        <v>94.48</v>
      </c>
      <c r="I114" s="1">
        <v>34.480000000000004</v>
      </c>
      <c r="J114" s="1">
        <v>60</v>
      </c>
      <c r="K114" s="1" t="s">
        <v>25</v>
      </c>
      <c r="L114" s="1" t="s">
        <v>26</v>
      </c>
      <c r="M114" s="1" t="s">
        <v>27</v>
      </c>
      <c r="N114" s="1" t="s">
        <v>28</v>
      </c>
    </row>
    <row r="115" spans="1:14">
      <c r="A115" s="2">
        <v>45373</v>
      </c>
      <c r="B115" s="1" t="s">
        <v>39</v>
      </c>
      <c r="C115" s="1" t="s">
        <v>40</v>
      </c>
      <c r="D115" s="1" t="s">
        <v>16</v>
      </c>
      <c r="E115" s="1" t="s">
        <v>24</v>
      </c>
      <c r="F115" s="1">
        <v>1</v>
      </c>
      <c r="G115" s="1">
        <v>340.59</v>
      </c>
      <c r="H115" s="1">
        <v>340.59</v>
      </c>
      <c r="I115" s="1">
        <v>275.08999999999997</v>
      </c>
      <c r="J115" s="1">
        <v>65.5</v>
      </c>
      <c r="K115" s="1" t="s">
        <v>32</v>
      </c>
      <c r="L115" s="1" t="s">
        <v>33</v>
      </c>
      <c r="M115" s="1" t="s">
        <v>34</v>
      </c>
      <c r="N115" s="1" t="s">
        <v>35</v>
      </c>
    </row>
    <row r="116" spans="1:14">
      <c r="A116" s="2">
        <v>45389</v>
      </c>
      <c r="B116" s="1" t="s">
        <v>53</v>
      </c>
      <c r="C116" s="1" t="s">
        <v>40</v>
      </c>
      <c r="D116" s="1" t="s">
        <v>16</v>
      </c>
      <c r="E116" s="1" t="s">
        <v>17</v>
      </c>
      <c r="F116" s="1">
        <v>2</v>
      </c>
      <c r="G116" s="1">
        <v>362.31</v>
      </c>
      <c r="H116" s="1">
        <v>724.62</v>
      </c>
      <c r="I116" s="1">
        <v>675.62</v>
      </c>
      <c r="J116" s="1">
        <v>49</v>
      </c>
      <c r="K116" s="1" t="s">
        <v>18</v>
      </c>
      <c r="L116" s="1" t="s">
        <v>19</v>
      </c>
      <c r="M116" s="1" t="s">
        <v>37</v>
      </c>
      <c r="N116" s="1" t="s">
        <v>21</v>
      </c>
    </row>
    <row r="117" spans="1:14">
      <c r="A117" s="2">
        <v>45380</v>
      </c>
      <c r="B117" s="1" t="s">
        <v>55</v>
      </c>
      <c r="C117" s="1" t="s">
        <v>44</v>
      </c>
      <c r="D117" s="1" t="s">
        <v>42</v>
      </c>
      <c r="E117" s="1" t="s">
        <v>31</v>
      </c>
      <c r="F117" s="1">
        <v>8</v>
      </c>
      <c r="G117" s="1">
        <v>418.71</v>
      </c>
      <c r="H117" s="1">
        <v>3349.68</v>
      </c>
      <c r="I117" s="1">
        <v>3309.68</v>
      </c>
      <c r="J117" s="1">
        <v>40</v>
      </c>
      <c r="K117" s="1" t="s">
        <v>25</v>
      </c>
      <c r="L117" s="1" t="s">
        <v>26</v>
      </c>
      <c r="M117" s="1" t="s">
        <v>20</v>
      </c>
      <c r="N117" s="1" t="s">
        <v>28</v>
      </c>
    </row>
    <row r="118" spans="1:14">
      <c r="A118" s="2">
        <v>45304</v>
      </c>
      <c r="B118" s="1" t="s">
        <v>29</v>
      </c>
      <c r="C118" s="1" t="s">
        <v>30</v>
      </c>
      <c r="D118" s="1" t="s">
        <v>16</v>
      </c>
      <c r="E118" s="1" t="s">
        <v>46</v>
      </c>
      <c r="F118" s="1">
        <v>6</v>
      </c>
      <c r="G118" s="1">
        <v>111.13</v>
      </c>
      <c r="H118" s="1">
        <v>666.78</v>
      </c>
      <c r="I118" s="1">
        <v>606.78</v>
      </c>
      <c r="J118" s="1">
        <v>60</v>
      </c>
      <c r="K118" s="1" t="s">
        <v>32</v>
      </c>
      <c r="L118" s="1" t="s">
        <v>19</v>
      </c>
      <c r="M118" s="1" t="s">
        <v>27</v>
      </c>
      <c r="N118" s="1" t="s">
        <v>35</v>
      </c>
    </row>
    <row r="119" spans="1:14">
      <c r="A119" s="2">
        <v>45636</v>
      </c>
      <c r="B119" s="1" t="s">
        <v>55</v>
      </c>
      <c r="C119" s="1" t="s">
        <v>44</v>
      </c>
      <c r="D119" s="1" t="s">
        <v>42</v>
      </c>
      <c r="E119" s="1" t="s">
        <v>31</v>
      </c>
      <c r="F119" s="1">
        <v>9</v>
      </c>
      <c r="G119" s="1">
        <v>484.72</v>
      </c>
      <c r="H119" s="1">
        <v>4362.4799999999996</v>
      </c>
      <c r="I119" s="1">
        <v>4296.9799999999996</v>
      </c>
      <c r="J119" s="1">
        <v>65.5</v>
      </c>
      <c r="K119" s="1" t="s">
        <v>18</v>
      </c>
      <c r="L119" s="1" t="s">
        <v>19</v>
      </c>
      <c r="M119" s="1" t="s">
        <v>34</v>
      </c>
      <c r="N119" s="1" t="s">
        <v>21</v>
      </c>
    </row>
    <row r="120" spans="1:14">
      <c r="A120" s="2">
        <v>45605</v>
      </c>
      <c r="B120" s="1" t="s">
        <v>41</v>
      </c>
      <c r="C120" s="1" t="s">
        <v>30</v>
      </c>
      <c r="D120" s="1" t="s">
        <v>42</v>
      </c>
      <c r="E120" s="1" t="s">
        <v>24</v>
      </c>
      <c r="F120" s="1">
        <v>1</v>
      </c>
      <c r="G120" s="1">
        <v>67.53</v>
      </c>
      <c r="H120" s="1">
        <v>67.53</v>
      </c>
      <c r="I120" s="1">
        <v>18.53</v>
      </c>
      <c r="J120" s="1">
        <v>49</v>
      </c>
      <c r="K120" s="1" t="s">
        <v>25</v>
      </c>
      <c r="L120" s="1" t="s">
        <v>26</v>
      </c>
      <c r="M120" s="1" t="s">
        <v>37</v>
      </c>
      <c r="N120" s="1" t="s">
        <v>28</v>
      </c>
    </row>
    <row r="121" spans="1:14">
      <c r="A121" s="2">
        <v>45380</v>
      </c>
      <c r="B121" s="1" t="s">
        <v>54</v>
      </c>
      <c r="C121" s="1" t="s">
        <v>40</v>
      </c>
      <c r="D121" s="1" t="s">
        <v>42</v>
      </c>
      <c r="E121" s="1" t="s">
        <v>24</v>
      </c>
      <c r="F121" s="1">
        <v>2</v>
      </c>
      <c r="G121" s="1">
        <v>368.03</v>
      </c>
      <c r="H121" s="1">
        <v>736.06</v>
      </c>
      <c r="I121" s="1">
        <v>696.06</v>
      </c>
      <c r="J121" s="1">
        <v>40</v>
      </c>
      <c r="K121" s="1" t="s">
        <v>32</v>
      </c>
      <c r="L121" s="1" t="s">
        <v>19</v>
      </c>
      <c r="M121" s="1" t="s">
        <v>20</v>
      </c>
      <c r="N121" s="1" t="s">
        <v>35</v>
      </c>
    </row>
    <row r="122" spans="1:14">
      <c r="A122" s="2">
        <v>45372</v>
      </c>
      <c r="B122" s="1" t="s">
        <v>38</v>
      </c>
      <c r="C122" s="1" t="s">
        <v>15</v>
      </c>
      <c r="D122" s="1" t="s">
        <v>49</v>
      </c>
      <c r="E122" s="1" t="s">
        <v>24</v>
      </c>
      <c r="F122" s="1">
        <v>1</v>
      </c>
      <c r="G122" s="1">
        <v>372.87</v>
      </c>
      <c r="H122" s="1">
        <v>372.87</v>
      </c>
      <c r="I122" s="1">
        <v>312.87</v>
      </c>
      <c r="J122" s="1">
        <v>60</v>
      </c>
      <c r="K122" s="1" t="s">
        <v>18</v>
      </c>
      <c r="L122" s="1" t="s">
        <v>33</v>
      </c>
      <c r="M122" s="1" t="s">
        <v>27</v>
      </c>
      <c r="N122" s="1" t="s">
        <v>21</v>
      </c>
    </row>
    <row r="123" spans="1:14">
      <c r="A123" s="2">
        <v>45329</v>
      </c>
      <c r="B123" s="1" t="s">
        <v>14</v>
      </c>
      <c r="C123" s="1" t="s">
        <v>15</v>
      </c>
      <c r="D123" s="1" t="s">
        <v>42</v>
      </c>
      <c r="E123" s="1" t="s">
        <v>46</v>
      </c>
      <c r="F123" s="1">
        <v>10</v>
      </c>
      <c r="G123" s="1">
        <v>51.96</v>
      </c>
      <c r="H123" s="1">
        <v>519.6</v>
      </c>
      <c r="I123" s="1">
        <v>454.1</v>
      </c>
      <c r="J123" s="1">
        <v>65.5</v>
      </c>
      <c r="K123" s="1" t="s">
        <v>25</v>
      </c>
      <c r="L123" s="1" t="s">
        <v>26</v>
      </c>
      <c r="M123" s="1" t="s">
        <v>34</v>
      </c>
      <c r="N123" s="1" t="s">
        <v>28</v>
      </c>
    </row>
    <row r="124" spans="1:14">
      <c r="A124" s="2">
        <v>45449</v>
      </c>
      <c r="B124" s="1" t="s">
        <v>56</v>
      </c>
      <c r="C124" s="1" t="s">
        <v>52</v>
      </c>
      <c r="D124" s="1" t="s">
        <v>48</v>
      </c>
      <c r="E124" s="1" t="s">
        <v>24</v>
      </c>
      <c r="F124" s="1">
        <v>8</v>
      </c>
      <c r="G124" s="1">
        <v>434.36</v>
      </c>
      <c r="H124" s="1">
        <v>3474.88</v>
      </c>
      <c r="I124" s="1">
        <v>3425.88</v>
      </c>
      <c r="J124" s="1">
        <v>49</v>
      </c>
      <c r="K124" s="1" t="s">
        <v>32</v>
      </c>
      <c r="L124" s="1" t="s">
        <v>19</v>
      </c>
      <c r="M124" s="1" t="s">
        <v>37</v>
      </c>
      <c r="N124" s="1" t="s">
        <v>35</v>
      </c>
    </row>
    <row r="125" spans="1:14">
      <c r="A125" s="2">
        <v>45423</v>
      </c>
      <c r="B125" s="1" t="s">
        <v>57</v>
      </c>
      <c r="C125" s="1" t="s">
        <v>30</v>
      </c>
      <c r="D125" s="1" t="s">
        <v>23</v>
      </c>
      <c r="E125" s="1" t="s">
        <v>31</v>
      </c>
      <c r="F125" s="1">
        <v>3</v>
      </c>
      <c r="G125" s="1">
        <v>400.96</v>
      </c>
      <c r="H125" s="1">
        <v>1202.8800000000001</v>
      </c>
      <c r="I125" s="1">
        <v>1162.8800000000001</v>
      </c>
      <c r="J125" s="1">
        <v>40</v>
      </c>
      <c r="K125" s="1" t="s">
        <v>18</v>
      </c>
      <c r="L125" s="1" t="s">
        <v>26</v>
      </c>
      <c r="M125" s="1" t="s">
        <v>20</v>
      </c>
      <c r="N125" s="1" t="s">
        <v>21</v>
      </c>
    </row>
    <row r="126" spans="1:14">
      <c r="A126" s="2">
        <v>45389</v>
      </c>
      <c r="B126" s="1" t="s">
        <v>56</v>
      </c>
      <c r="C126" s="1" t="s">
        <v>52</v>
      </c>
      <c r="D126" s="1" t="s">
        <v>49</v>
      </c>
      <c r="E126" s="1" t="s">
        <v>24</v>
      </c>
      <c r="F126" s="1">
        <v>1</v>
      </c>
      <c r="G126" s="1">
        <v>55.02</v>
      </c>
      <c r="H126" s="1">
        <v>55.02</v>
      </c>
      <c r="I126" s="1">
        <v>-4.9799999999999969</v>
      </c>
      <c r="J126" s="1">
        <v>60</v>
      </c>
      <c r="K126" s="1" t="s">
        <v>25</v>
      </c>
      <c r="L126" s="1" t="s">
        <v>19</v>
      </c>
      <c r="M126" s="1" t="s">
        <v>27</v>
      </c>
      <c r="N126" s="1" t="s">
        <v>28</v>
      </c>
    </row>
    <row r="127" spans="1:14">
      <c r="A127" s="2">
        <v>45595</v>
      </c>
      <c r="B127" s="1" t="s">
        <v>53</v>
      </c>
      <c r="C127" s="1" t="s">
        <v>40</v>
      </c>
      <c r="D127" s="1" t="s">
        <v>16</v>
      </c>
      <c r="E127" s="1" t="s">
        <v>31</v>
      </c>
      <c r="F127" s="1">
        <v>5</v>
      </c>
      <c r="G127" s="1">
        <v>187.23</v>
      </c>
      <c r="H127" s="1">
        <v>936.15</v>
      </c>
      <c r="I127" s="1">
        <v>870.65</v>
      </c>
      <c r="J127" s="1">
        <v>65.5</v>
      </c>
      <c r="K127" s="1" t="s">
        <v>32</v>
      </c>
      <c r="L127" s="1" t="s">
        <v>19</v>
      </c>
      <c r="M127" s="1" t="s">
        <v>34</v>
      </c>
      <c r="N127" s="1" t="s">
        <v>35</v>
      </c>
    </row>
    <row r="128" spans="1:14">
      <c r="A128" s="2">
        <v>45346</v>
      </c>
      <c r="B128" s="1" t="s">
        <v>54</v>
      </c>
      <c r="C128" s="1" t="s">
        <v>40</v>
      </c>
      <c r="D128" s="1" t="s">
        <v>48</v>
      </c>
      <c r="E128" s="1" t="s">
        <v>24</v>
      </c>
      <c r="F128" s="1">
        <v>9</v>
      </c>
      <c r="G128" s="1">
        <v>202.72</v>
      </c>
      <c r="H128" s="1">
        <v>1824.48</v>
      </c>
      <c r="I128" s="1">
        <v>1775.48</v>
      </c>
      <c r="J128" s="1">
        <v>49</v>
      </c>
      <c r="K128" s="1" t="s">
        <v>18</v>
      </c>
      <c r="L128" s="1" t="s">
        <v>26</v>
      </c>
      <c r="M128" s="1" t="s">
        <v>37</v>
      </c>
      <c r="N128" s="1" t="s">
        <v>21</v>
      </c>
    </row>
    <row r="129" spans="1:14">
      <c r="A129" s="2">
        <v>45600</v>
      </c>
      <c r="B129" s="1" t="s">
        <v>54</v>
      </c>
      <c r="C129" s="1" t="s">
        <v>40</v>
      </c>
      <c r="D129" s="1" t="s">
        <v>16</v>
      </c>
      <c r="E129" s="1" t="s">
        <v>31</v>
      </c>
      <c r="F129" s="1">
        <v>3</v>
      </c>
      <c r="G129" s="1">
        <v>276.01</v>
      </c>
      <c r="H129" s="1">
        <v>828.03</v>
      </c>
      <c r="I129" s="1">
        <v>788.03</v>
      </c>
      <c r="J129" s="1">
        <v>40</v>
      </c>
      <c r="K129" s="1" t="s">
        <v>25</v>
      </c>
      <c r="L129" s="1" t="s">
        <v>33</v>
      </c>
      <c r="M129" s="1" t="s">
        <v>20</v>
      </c>
      <c r="N129" s="1" t="s">
        <v>28</v>
      </c>
    </row>
    <row r="130" spans="1:14">
      <c r="A130" s="2">
        <v>45305</v>
      </c>
      <c r="B130" s="1" t="s">
        <v>45</v>
      </c>
      <c r="C130" s="1" t="s">
        <v>44</v>
      </c>
      <c r="D130" s="1" t="s">
        <v>49</v>
      </c>
      <c r="E130" s="1" t="s">
        <v>24</v>
      </c>
      <c r="F130" s="1">
        <v>10</v>
      </c>
      <c r="G130" s="1">
        <v>281.43</v>
      </c>
      <c r="H130" s="1">
        <v>2814.3</v>
      </c>
      <c r="I130" s="1">
        <v>2754.3</v>
      </c>
      <c r="J130" s="1">
        <v>60</v>
      </c>
      <c r="K130" s="1" t="s">
        <v>32</v>
      </c>
      <c r="L130" s="1" t="s">
        <v>19</v>
      </c>
      <c r="M130" s="1" t="s">
        <v>27</v>
      </c>
      <c r="N130" s="1" t="s">
        <v>35</v>
      </c>
    </row>
    <row r="131" spans="1:14">
      <c r="A131" s="2">
        <v>45514</v>
      </c>
      <c r="B131" s="1" t="s">
        <v>56</v>
      </c>
      <c r="C131" s="1" t="s">
        <v>52</v>
      </c>
      <c r="D131" s="1" t="s">
        <v>48</v>
      </c>
      <c r="E131" s="1" t="s">
        <v>31</v>
      </c>
      <c r="F131" s="1">
        <v>7</v>
      </c>
      <c r="G131" s="1">
        <v>483.02</v>
      </c>
      <c r="H131" s="1">
        <v>3381.14</v>
      </c>
      <c r="I131" s="1">
        <v>3315.64</v>
      </c>
      <c r="J131" s="1">
        <v>65.5</v>
      </c>
      <c r="K131" s="1" t="s">
        <v>18</v>
      </c>
      <c r="L131" s="1" t="s">
        <v>26</v>
      </c>
      <c r="M131" s="1" t="s">
        <v>34</v>
      </c>
      <c r="N131" s="1" t="s">
        <v>21</v>
      </c>
    </row>
    <row r="132" spans="1:14">
      <c r="A132" s="2">
        <v>45367</v>
      </c>
      <c r="B132" s="1" t="s">
        <v>55</v>
      </c>
      <c r="C132" s="1" t="s">
        <v>44</v>
      </c>
      <c r="D132" s="1" t="s">
        <v>48</v>
      </c>
      <c r="E132" s="1" t="s">
        <v>17</v>
      </c>
      <c r="F132" s="1">
        <v>10</v>
      </c>
      <c r="G132" s="1">
        <v>84.68</v>
      </c>
      <c r="H132" s="1">
        <v>846.8</v>
      </c>
      <c r="I132" s="1">
        <v>797.8</v>
      </c>
      <c r="J132" s="1">
        <v>49</v>
      </c>
      <c r="K132" s="1" t="s">
        <v>25</v>
      </c>
      <c r="L132" s="1" t="s">
        <v>19</v>
      </c>
      <c r="M132" s="1" t="s">
        <v>37</v>
      </c>
      <c r="N132" s="1" t="s">
        <v>28</v>
      </c>
    </row>
    <row r="133" spans="1:14">
      <c r="A133" s="2">
        <v>45462</v>
      </c>
      <c r="B133" s="1" t="s">
        <v>39</v>
      </c>
      <c r="C133" s="1" t="s">
        <v>40</v>
      </c>
      <c r="D133" s="1" t="s">
        <v>16</v>
      </c>
      <c r="E133" s="1" t="s">
        <v>46</v>
      </c>
      <c r="F133" s="1">
        <v>3</v>
      </c>
      <c r="G133" s="1">
        <v>306.7</v>
      </c>
      <c r="H133" s="1">
        <v>920.1</v>
      </c>
      <c r="I133" s="1">
        <v>880.1</v>
      </c>
      <c r="J133" s="1">
        <v>40</v>
      </c>
      <c r="K133" s="1" t="s">
        <v>32</v>
      </c>
      <c r="L133" s="1" t="s">
        <v>19</v>
      </c>
      <c r="M133" s="1" t="s">
        <v>20</v>
      </c>
      <c r="N133" s="1" t="s">
        <v>35</v>
      </c>
    </row>
    <row r="134" spans="1:14">
      <c r="A134" s="2">
        <v>45452</v>
      </c>
      <c r="B134" s="1" t="s">
        <v>39</v>
      </c>
      <c r="C134" s="1" t="s">
        <v>40</v>
      </c>
      <c r="D134" s="1" t="s">
        <v>48</v>
      </c>
      <c r="E134" s="1" t="s">
        <v>31</v>
      </c>
      <c r="F134" s="1">
        <v>2</v>
      </c>
      <c r="G134" s="1">
        <v>68.94</v>
      </c>
      <c r="H134" s="1">
        <v>137.88</v>
      </c>
      <c r="I134" s="1">
        <v>77.88</v>
      </c>
      <c r="J134" s="1">
        <v>60</v>
      </c>
      <c r="K134" s="1" t="s">
        <v>18</v>
      </c>
      <c r="L134" s="1" t="s">
        <v>33</v>
      </c>
      <c r="M134" s="1" t="s">
        <v>27</v>
      </c>
      <c r="N134" s="1" t="s">
        <v>21</v>
      </c>
    </row>
    <row r="135" spans="1:14">
      <c r="A135" s="2">
        <v>45431</v>
      </c>
      <c r="B135" s="1" t="s">
        <v>50</v>
      </c>
      <c r="C135" s="1" t="s">
        <v>40</v>
      </c>
      <c r="D135" s="1" t="s">
        <v>16</v>
      </c>
      <c r="E135" s="1" t="s">
        <v>46</v>
      </c>
      <c r="F135" s="1">
        <v>7</v>
      </c>
      <c r="G135" s="1">
        <v>483.1</v>
      </c>
      <c r="H135" s="1">
        <v>3381.7</v>
      </c>
      <c r="I135" s="1">
        <v>3316.2</v>
      </c>
      <c r="J135" s="1">
        <v>65.5</v>
      </c>
      <c r="K135" s="1" t="s">
        <v>25</v>
      </c>
      <c r="L135" s="1" t="s">
        <v>19</v>
      </c>
      <c r="M135" s="1" t="s">
        <v>34</v>
      </c>
      <c r="N135" s="1" t="s">
        <v>28</v>
      </c>
    </row>
    <row r="136" spans="1:14">
      <c r="A136" s="2">
        <v>45412</v>
      </c>
      <c r="B136" s="1" t="s">
        <v>56</v>
      </c>
      <c r="C136" s="1" t="s">
        <v>52</v>
      </c>
      <c r="D136" s="1" t="s">
        <v>48</v>
      </c>
      <c r="E136" s="1" t="s">
        <v>24</v>
      </c>
      <c r="F136" s="1">
        <v>2</v>
      </c>
      <c r="G136" s="1">
        <v>439.62</v>
      </c>
      <c r="H136" s="1">
        <v>879.24</v>
      </c>
      <c r="I136" s="1">
        <v>830.24</v>
      </c>
      <c r="J136" s="1">
        <v>49</v>
      </c>
      <c r="K136" s="1" t="s">
        <v>32</v>
      </c>
      <c r="L136" s="1" t="s">
        <v>26</v>
      </c>
      <c r="M136" s="1" t="s">
        <v>37</v>
      </c>
      <c r="N136" s="1" t="s">
        <v>35</v>
      </c>
    </row>
    <row r="137" spans="1:14">
      <c r="A137" s="2">
        <v>45399</v>
      </c>
      <c r="B137" s="1" t="s">
        <v>55</v>
      </c>
      <c r="C137" s="1" t="s">
        <v>44</v>
      </c>
      <c r="D137" s="1" t="s">
        <v>49</v>
      </c>
      <c r="E137" s="1" t="s">
        <v>46</v>
      </c>
      <c r="F137" s="1">
        <v>9</v>
      </c>
      <c r="G137" s="1">
        <v>153.18</v>
      </c>
      <c r="H137" s="1">
        <v>1378.62</v>
      </c>
      <c r="I137" s="1">
        <v>1338.62</v>
      </c>
      <c r="J137" s="1">
        <v>40</v>
      </c>
      <c r="K137" s="1" t="s">
        <v>18</v>
      </c>
      <c r="L137" s="1" t="s">
        <v>19</v>
      </c>
      <c r="M137" s="1" t="s">
        <v>20</v>
      </c>
      <c r="N137" s="1" t="s">
        <v>21</v>
      </c>
    </row>
    <row r="138" spans="1:14">
      <c r="A138" s="2">
        <v>45462</v>
      </c>
      <c r="B138" s="1" t="s">
        <v>45</v>
      </c>
      <c r="C138" s="1" t="s">
        <v>44</v>
      </c>
      <c r="D138" s="1" t="s">
        <v>48</v>
      </c>
      <c r="E138" s="1" t="s">
        <v>17</v>
      </c>
      <c r="F138" s="1">
        <v>5</v>
      </c>
      <c r="G138" s="1">
        <v>51.53</v>
      </c>
      <c r="H138" s="1">
        <v>257.64999999999998</v>
      </c>
      <c r="I138" s="1">
        <v>197.64999999999998</v>
      </c>
      <c r="J138" s="1">
        <v>60</v>
      </c>
      <c r="K138" s="1" t="s">
        <v>25</v>
      </c>
      <c r="L138" s="1" t="s">
        <v>19</v>
      </c>
      <c r="M138" s="1" t="s">
        <v>27</v>
      </c>
      <c r="N138" s="1" t="s">
        <v>28</v>
      </c>
    </row>
    <row r="139" spans="1:14">
      <c r="A139" s="2">
        <v>45483</v>
      </c>
      <c r="B139" s="1" t="s">
        <v>41</v>
      </c>
      <c r="C139" s="1" t="s">
        <v>30</v>
      </c>
      <c r="D139" s="1" t="s">
        <v>42</v>
      </c>
      <c r="E139" s="1" t="s">
        <v>46</v>
      </c>
      <c r="F139" s="1">
        <v>4</v>
      </c>
      <c r="G139" s="1">
        <v>231.62</v>
      </c>
      <c r="H139" s="1">
        <v>926.48</v>
      </c>
      <c r="I139" s="1">
        <v>860.98</v>
      </c>
      <c r="J139" s="1">
        <v>65.5</v>
      </c>
      <c r="K139" s="1" t="s">
        <v>32</v>
      </c>
      <c r="L139" s="1" t="s">
        <v>26</v>
      </c>
      <c r="M139" s="1" t="s">
        <v>34</v>
      </c>
      <c r="N139" s="1" t="s">
        <v>35</v>
      </c>
    </row>
    <row r="140" spans="1:14">
      <c r="A140" s="2">
        <v>45395</v>
      </c>
      <c r="B140" s="1" t="s">
        <v>47</v>
      </c>
      <c r="C140" s="1" t="s">
        <v>44</v>
      </c>
      <c r="D140" s="1" t="s">
        <v>48</v>
      </c>
      <c r="E140" s="1" t="s">
        <v>31</v>
      </c>
      <c r="F140" s="1">
        <v>5</v>
      </c>
      <c r="G140" s="1">
        <v>303.83999999999997</v>
      </c>
      <c r="H140" s="1">
        <v>1519.2</v>
      </c>
      <c r="I140" s="1">
        <v>1470.2</v>
      </c>
      <c r="J140" s="1">
        <v>49</v>
      </c>
      <c r="K140" s="1" t="s">
        <v>18</v>
      </c>
      <c r="L140" s="1" t="s">
        <v>33</v>
      </c>
      <c r="M140" s="1" t="s">
        <v>37</v>
      </c>
      <c r="N140" s="1" t="s">
        <v>21</v>
      </c>
    </row>
    <row r="141" spans="1:14">
      <c r="A141" s="2">
        <v>45313</v>
      </c>
      <c r="B141" s="1" t="s">
        <v>47</v>
      </c>
      <c r="C141" s="1" t="s">
        <v>44</v>
      </c>
      <c r="D141" s="1" t="s">
        <v>49</v>
      </c>
      <c r="E141" s="1" t="s">
        <v>46</v>
      </c>
      <c r="F141" s="1">
        <v>9</v>
      </c>
      <c r="G141" s="1">
        <v>374.31</v>
      </c>
      <c r="H141" s="1">
        <v>3368.79</v>
      </c>
      <c r="I141" s="1">
        <v>3328.79</v>
      </c>
      <c r="J141" s="1">
        <v>40</v>
      </c>
      <c r="K141" s="1" t="s">
        <v>25</v>
      </c>
      <c r="L141" s="1" t="s">
        <v>19</v>
      </c>
      <c r="M141" s="1" t="s">
        <v>20</v>
      </c>
      <c r="N141" s="1" t="s">
        <v>28</v>
      </c>
    </row>
    <row r="142" spans="1:14">
      <c r="A142" s="2">
        <v>45579</v>
      </c>
      <c r="B142" s="1" t="s">
        <v>39</v>
      </c>
      <c r="C142" s="1" t="s">
        <v>40</v>
      </c>
      <c r="D142" s="1" t="s">
        <v>49</v>
      </c>
      <c r="E142" s="1" t="s">
        <v>24</v>
      </c>
      <c r="F142" s="1">
        <v>5</v>
      </c>
      <c r="G142" s="1">
        <v>158.87</v>
      </c>
      <c r="H142" s="1">
        <v>794.35</v>
      </c>
      <c r="I142" s="1">
        <v>734.35</v>
      </c>
      <c r="J142" s="1">
        <v>60</v>
      </c>
      <c r="K142" s="1" t="s">
        <v>32</v>
      </c>
      <c r="L142" s="1" t="s">
        <v>19</v>
      </c>
      <c r="M142" s="1" t="s">
        <v>27</v>
      </c>
      <c r="N142" s="1" t="s">
        <v>35</v>
      </c>
    </row>
    <row r="143" spans="1:14">
      <c r="A143" s="2">
        <v>45544</v>
      </c>
      <c r="B143" s="1" t="s">
        <v>59</v>
      </c>
      <c r="C143" s="1" t="s">
        <v>30</v>
      </c>
      <c r="D143" s="1" t="s">
        <v>49</v>
      </c>
      <c r="E143" s="1" t="s">
        <v>46</v>
      </c>
      <c r="F143" s="1">
        <v>3</v>
      </c>
      <c r="G143" s="1">
        <v>174.34</v>
      </c>
      <c r="H143" s="1">
        <v>523.02</v>
      </c>
      <c r="I143" s="1">
        <v>457.52</v>
      </c>
      <c r="J143" s="1">
        <v>65.5</v>
      </c>
      <c r="K143" s="1" t="s">
        <v>18</v>
      </c>
      <c r="L143" s="1" t="s">
        <v>19</v>
      </c>
      <c r="M143" s="1" t="s">
        <v>34</v>
      </c>
      <c r="N143" s="1" t="s">
        <v>21</v>
      </c>
    </row>
    <row r="144" spans="1:14">
      <c r="A144" s="2">
        <v>45438</v>
      </c>
      <c r="B144" s="1" t="s">
        <v>57</v>
      </c>
      <c r="C144" s="1" t="s">
        <v>30</v>
      </c>
      <c r="D144" s="1" t="s">
        <v>23</v>
      </c>
      <c r="E144" s="1" t="s">
        <v>46</v>
      </c>
      <c r="F144" s="1">
        <v>6</v>
      </c>
      <c r="G144" s="1">
        <v>237.96</v>
      </c>
      <c r="H144" s="1">
        <v>1427.76</v>
      </c>
      <c r="I144" s="1">
        <v>1378.76</v>
      </c>
      <c r="J144" s="1">
        <v>49</v>
      </c>
      <c r="K144" s="1" t="s">
        <v>25</v>
      </c>
      <c r="L144" s="1" t="s">
        <v>26</v>
      </c>
      <c r="M144" s="1" t="s">
        <v>37</v>
      </c>
      <c r="N144" s="1" t="s">
        <v>28</v>
      </c>
    </row>
    <row r="145" spans="1:14">
      <c r="A145" s="2">
        <v>45578</v>
      </c>
      <c r="B145" s="1" t="s">
        <v>41</v>
      </c>
      <c r="C145" s="1" t="s">
        <v>30</v>
      </c>
      <c r="D145" s="1" t="s">
        <v>16</v>
      </c>
      <c r="E145" s="1" t="s">
        <v>17</v>
      </c>
      <c r="F145" s="1">
        <v>1</v>
      </c>
      <c r="G145" s="1">
        <v>347.92</v>
      </c>
      <c r="H145" s="1">
        <v>347.92</v>
      </c>
      <c r="I145" s="1">
        <v>307.92</v>
      </c>
      <c r="J145" s="1">
        <v>40</v>
      </c>
      <c r="K145" s="1" t="s">
        <v>32</v>
      </c>
      <c r="L145" s="1" t="s">
        <v>33</v>
      </c>
      <c r="M145" s="1" t="s">
        <v>20</v>
      </c>
      <c r="N145" s="1" t="s">
        <v>35</v>
      </c>
    </row>
    <row r="146" spans="1:14">
      <c r="A146" s="2">
        <v>45497</v>
      </c>
      <c r="B146" s="1" t="s">
        <v>53</v>
      </c>
      <c r="C146" s="1" t="s">
        <v>40</v>
      </c>
      <c r="D146" s="1" t="s">
        <v>16</v>
      </c>
      <c r="E146" s="1" t="s">
        <v>46</v>
      </c>
      <c r="F146" s="1">
        <v>9</v>
      </c>
      <c r="G146" s="1">
        <v>227.15</v>
      </c>
      <c r="H146" s="1">
        <v>2044.35</v>
      </c>
      <c r="I146" s="1">
        <v>1984.35</v>
      </c>
      <c r="J146" s="1">
        <v>60</v>
      </c>
      <c r="K146" s="1" t="s">
        <v>18</v>
      </c>
      <c r="L146" s="1" t="s">
        <v>19</v>
      </c>
      <c r="M146" s="1" t="s">
        <v>27</v>
      </c>
      <c r="N146" s="1" t="s">
        <v>21</v>
      </c>
    </row>
    <row r="147" spans="1:14">
      <c r="A147" s="2">
        <v>45561</v>
      </c>
      <c r="B147" s="1" t="s">
        <v>55</v>
      </c>
      <c r="C147" s="1" t="s">
        <v>44</v>
      </c>
      <c r="D147" s="1" t="s">
        <v>23</v>
      </c>
      <c r="E147" s="1" t="s">
        <v>31</v>
      </c>
      <c r="F147" s="1">
        <v>7</v>
      </c>
      <c r="G147" s="1">
        <v>459.54</v>
      </c>
      <c r="H147" s="1">
        <v>3216.78</v>
      </c>
      <c r="I147" s="1">
        <v>3151.28</v>
      </c>
      <c r="J147" s="1">
        <v>65.5</v>
      </c>
      <c r="K147" s="1" t="s">
        <v>25</v>
      </c>
      <c r="L147" s="1" t="s">
        <v>19</v>
      </c>
      <c r="M147" s="1" t="s">
        <v>34</v>
      </c>
      <c r="N147" s="1" t="s">
        <v>28</v>
      </c>
    </row>
    <row r="148" spans="1:14">
      <c r="A148" s="2">
        <v>45617</v>
      </c>
      <c r="B148" s="1" t="s">
        <v>56</v>
      </c>
      <c r="C148" s="1" t="s">
        <v>52</v>
      </c>
      <c r="D148" s="1" t="s">
        <v>42</v>
      </c>
      <c r="E148" s="1" t="s">
        <v>24</v>
      </c>
      <c r="F148" s="1">
        <v>8</v>
      </c>
      <c r="G148" s="1">
        <v>103.76</v>
      </c>
      <c r="H148" s="1">
        <v>830.08</v>
      </c>
      <c r="I148" s="1">
        <v>781.08</v>
      </c>
      <c r="J148" s="1">
        <v>49</v>
      </c>
      <c r="K148" s="1" t="s">
        <v>32</v>
      </c>
      <c r="L148" s="1" t="s">
        <v>26</v>
      </c>
      <c r="M148" s="1" t="s">
        <v>37</v>
      </c>
      <c r="N148" s="1" t="s">
        <v>35</v>
      </c>
    </row>
    <row r="149" spans="1:14">
      <c r="A149" s="2">
        <v>45529</v>
      </c>
      <c r="B149" s="1" t="s">
        <v>38</v>
      </c>
      <c r="C149" s="1" t="s">
        <v>15</v>
      </c>
      <c r="D149" s="1" t="s">
        <v>23</v>
      </c>
      <c r="E149" s="1" t="s">
        <v>31</v>
      </c>
      <c r="F149" s="1">
        <v>4</v>
      </c>
      <c r="G149" s="1">
        <v>162.47999999999999</v>
      </c>
      <c r="H149" s="1">
        <v>649.91999999999996</v>
      </c>
      <c r="I149" s="1">
        <v>609.91999999999996</v>
      </c>
      <c r="J149" s="1">
        <v>40</v>
      </c>
      <c r="K149" s="1" t="s">
        <v>18</v>
      </c>
      <c r="L149" s="1" t="s">
        <v>19</v>
      </c>
      <c r="M149" s="1" t="s">
        <v>20</v>
      </c>
      <c r="N149" s="1" t="s">
        <v>21</v>
      </c>
    </row>
    <row r="150" spans="1:14">
      <c r="A150" s="2">
        <v>45334</v>
      </c>
      <c r="B150" s="1" t="s">
        <v>47</v>
      </c>
      <c r="C150" s="1" t="s">
        <v>44</v>
      </c>
      <c r="D150" s="1" t="s">
        <v>16</v>
      </c>
      <c r="E150" s="1" t="s">
        <v>24</v>
      </c>
      <c r="F150" s="1">
        <v>10</v>
      </c>
      <c r="G150" s="1">
        <v>276.17</v>
      </c>
      <c r="H150" s="1">
        <v>2761.7</v>
      </c>
      <c r="I150" s="1">
        <v>2701.7</v>
      </c>
      <c r="J150" s="1">
        <v>60</v>
      </c>
      <c r="K150" s="1" t="s">
        <v>25</v>
      </c>
      <c r="L150" s="1" t="s">
        <v>33</v>
      </c>
      <c r="M150" s="1" t="s">
        <v>27</v>
      </c>
      <c r="N150" s="1" t="s">
        <v>28</v>
      </c>
    </row>
    <row r="151" spans="1:14">
      <c r="A151" s="2">
        <v>45356</v>
      </c>
      <c r="B151" s="1" t="s">
        <v>60</v>
      </c>
      <c r="C151" s="1" t="s">
        <v>52</v>
      </c>
      <c r="D151" s="1" t="s">
        <v>23</v>
      </c>
      <c r="E151" s="1" t="s">
        <v>17</v>
      </c>
      <c r="F151" s="1">
        <v>1</v>
      </c>
      <c r="G151" s="1">
        <v>154.79</v>
      </c>
      <c r="H151" s="1">
        <v>154.79</v>
      </c>
      <c r="I151" s="1">
        <v>89.289999999999992</v>
      </c>
      <c r="J151" s="1">
        <v>65.5</v>
      </c>
      <c r="K151" s="1" t="s">
        <v>32</v>
      </c>
      <c r="L151" s="1" t="s">
        <v>19</v>
      </c>
      <c r="M151" s="1" t="s">
        <v>34</v>
      </c>
      <c r="N151" s="1" t="s">
        <v>35</v>
      </c>
    </row>
    <row r="152" spans="1:14">
      <c r="A152" s="2">
        <v>45555</v>
      </c>
      <c r="B152" s="1" t="s">
        <v>14</v>
      </c>
      <c r="C152" s="1" t="s">
        <v>15</v>
      </c>
      <c r="D152" s="1" t="s">
        <v>16</v>
      </c>
      <c r="E152" s="1" t="s">
        <v>46</v>
      </c>
      <c r="F152" s="1">
        <v>6</v>
      </c>
      <c r="G152" s="1">
        <v>482.61</v>
      </c>
      <c r="H152" s="1">
        <v>2895.66</v>
      </c>
      <c r="I152" s="1">
        <v>2846.66</v>
      </c>
      <c r="J152" s="1">
        <v>49</v>
      </c>
      <c r="K152" s="1" t="s">
        <v>18</v>
      </c>
      <c r="L152" s="1" t="s">
        <v>26</v>
      </c>
      <c r="M152" s="1" t="s">
        <v>37</v>
      </c>
      <c r="N152" s="1" t="s">
        <v>21</v>
      </c>
    </row>
    <row r="153" spans="1:14">
      <c r="A153" s="2">
        <v>45610</v>
      </c>
      <c r="B153" s="1" t="s">
        <v>59</v>
      </c>
      <c r="C153" s="1" t="s">
        <v>30</v>
      </c>
      <c r="D153" s="1" t="s">
        <v>42</v>
      </c>
      <c r="E153" s="1" t="s">
        <v>46</v>
      </c>
      <c r="F153" s="1">
        <v>1</v>
      </c>
      <c r="G153" s="1">
        <v>96.33</v>
      </c>
      <c r="H153" s="1">
        <v>96.33</v>
      </c>
      <c r="I153" s="1">
        <v>56.33</v>
      </c>
      <c r="J153" s="1">
        <v>40</v>
      </c>
      <c r="K153" s="1" t="s">
        <v>25</v>
      </c>
      <c r="L153" s="1" t="s">
        <v>33</v>
      </c>
      <c r="M153" s="1" t="s">
        <v>20</v>
      </c>
      <c r="N153" s="1" t="s">
        <v>28</v>
      </c>
    </row>
    <row r="154" spans="1:14">
      <c r="A154" s="2">
        <v>45604</v>
      </c>
      <c r="B154" s="1" t="s">
        <v>60</v>
      </c>
      <c r="C154" s="1" t="s">
        <v>52</v>
      </c>
      <c r="D154" s="1" t="s">
        <v>23</v>
      </c>
      <c r="E154" s="1" t="s">
        <v>46</v>
      </c>
      <c r="F154" s="1">
        <v>6</v>
      </c>
      <c r="G154" s="1">
        <v>465.34</v>
      </c>
      <c r="H154" s="1">
        <v>2792.04</v>
      </c>
      <c r="I154" s="1">
        <v>2732.04</v>
      </c>
      <c r="J154" s="1">
        <v>60</v>
      </c>
      <c r="K154" s="1" t="s">
        <v>32</v>
      </c>
      <c r="L154" s="1" t="s">
        <v>19</v>
      </c>
      <c r="M154" s="1" t="s">
        <v>27</v>
      </c>
      <c r="N154" s="1" t="s">
        <v>35</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61BF6-7AB9-4B95-A61F-FA6BD02B9A63}">
  <dimension ref="AA2:AA37"/>
  <sheetViews>
    <sheetView showGridLines="0" showRowColHeaders="0" zoomScale="54" zoomScaleNormal="54" workbookViewId="0">
      <selection activeCell="AI7" sqref="AI7"/>
    </sheetView>
  </sheetViews>
  <sheetFormatPr defaultRowHeight="14.5"/>
  <cols>
    <col min="1" max="2" width="8.7265625" style="4"/>
    <col min="3" max="3" width="8.7265625" style="4" customWidth="1"/>
    <col min="4" max="4" width="7.6328125" style="4" customWidth="1"/>
    <col min="5" max="16384" width="8.7265625" style="4"/>
  </cols>
  <sheetData>
    <row r="2" ht="80.5" customHeight="1"/>
    <row r="37" spans="27:27">
      <c r="AA37" s="14"/>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3</vt:i4>
      </vt:variant>
    </vt:vector>
  </HeadingPairs>
  <TitlesOfParts>
    <vt:vector size="3" baseType="lpstr">
      <vt:lpstr>pivot</vt:lpstr>
      <vt:lpstr>Data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Yasser</dc:creator>
  <cp:lastModifiedBy>رويدا محروس محمد السعيد الابيض</cp:lastModifiedBy>
  <dcterms:created xsi:type="dcterms:W3CDTF">2025-01-09T17:40:39Z</dcterms:created>
  <dcterms:modified xsi:type="dcterms:W3CDTF">2025-09-10T15:38:05Z</dcterms:modified>
</cp:coreProperties>
</file>